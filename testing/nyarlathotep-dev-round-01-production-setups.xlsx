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What changed" sheetId="2" state="visible" r:id="rId2"/>
    <sheet xmlns:r="http://schemas.openxmlformats.org/officeDocument/2006/relationships" name="Known limits" sheetId="3" state="visible" r:id="rId3"/>
    <sheet xmlns:r="http://schemas.openxmlformats.org/officeDocument/2006/relationships" name="Test plan" sheetId="4" state="visible" r:id="rId4"/>
    <sheet xmlns:r="http://schemas.openxmlformats.org/officeDocument/2006/relationships" name="Test steps" sheetId="5" state="visible" r:id="rId5"/>
    <sheet xmlns:r="http://schemas.openxmlformats.org/officeDocument/2006/relationships" name="Anything new" sheetId="6" state="visible" r:id="rId6"/>
    <sheet xmlns:r="http://schemas.openxmlformats.org/officeDocument/2006/relationships" name="Progress" sheetId="7" state="visible" r:id="rId7"/>
  </sheets>
  <definedNames>
    <definedName name="_xlnm._FilterDatabase" localSheetId="3" hidden="1">'Test plan'!$A$1:$P$23</definedName>
    <definedName name="_xlnm._FilterDatabase" localSheetId="4" hidden="1">'Test steps'!$A$1:$F$119</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4"/>
    </font>
    <font>
      <sz val="11"/>
    </font>
    <font>
      <b val="1"/>
      <sz val="11"/>
    </font>
    <font>
      <b val="1"/>
      <color rgb="00FFFFFF"/>
    </font>
    <font>
      <b val="1"/>
    </font>
  </fonts>
  <fills count="11">
    <fill>
      <patternFill/>
    </fill>
    <fill>
      <patternFill patternType="gray125"/>
    </fill>
    <fill>
      <patternFill patternType="solid">
        <fgColor rgb="001F2937"/>
      </patternFill>
    </fill>
    <fill>
      <patternFill patternType="solid">
        <fgColor rgb="0092400E"/>
      </patternFill>
    </fill>
    <fill>
      <patternFill patternType="solid">
        <fgColor rgb="00FFFBEB"/>
      </patternFill>
    </fill>
    <fill>
      <patternFill patternType="solid">
        <fgColor rgb="00C6F6D5"/>
      </patternFill>
    </fill>
    <fill>
      <patternFill patternType="solid">
        <fgColor rgb="00FEF3C7"/>
      </patternFill>
    </fill>
    <fill>
      <patternFill patternType="solid">
        <fgColor rgb="00FECACA"/>
      </patternFill>
    </fill>
    <fill>
      <patternFill patternType="solid">
        <fgColor rgb="00E5E7EB"/>
      </patternFill>
    </fill>
    <fill>
      <patternFill patternType="solid">
        <fgColor rgb="00FFFFFF"/>
      </patternFill>
    </fill>
    <fill>
      <patternFill patternType="solid">
        <fgColor rgb="00E0E7FF"/>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25">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pivotButton="0" quotePrefix="0" xfId="0"/>
    <xf numFmtId="0" fontId="4" fillId="3" borderId="0" pivotButton="0" quotePrefix="0" xfId="0"/>
    <xf numFmtId="0" fontId="0" fillId="0" borderId="0" applyAlignment="1" pivotButton="0" quotePrefix="0" xfId="0">
      <alignment vertical="top" wrapText="1"/>
    </xf>
    <xf numFmtId="0" fontId="0" fillId="4" borderId="1" pivotButton="0" quotePrefix="0" xfId="0"/>
    <xf numFmtId="0" fontId="2" fillId="5" borderId="0" applyAlignment="1" pivotButton="0" quotePrefix="0" xfId="0">
      <alignment vertical="top" wrapText="1"/>
    </xf>
    <xf numFmtId="0" fontId="2" fillId="6" borderId="0" applyAlignment="1" pivotButton="0" quotePrefix="0" xfId="0">
      <alignment vertical="top" wrapText="1"/>
    </xf>
    <xf numFmtId="0" fontId="2" fillId="7" borderId="0" applyAlignment="1" pivotButton="0" quotePrefix="0" xfId="0">
      <alignment vertical="top" wrapText="1"/>
    </xf>
    <xf numFmtId="0" fontId="2" fillId="8" borderId="0" applyAlignment="1" pivotButton="0" quotePrefix="0" xfId="0">
      <alignment vertical="top" wrapText="1"/>
    </xf>
    <xf numFmtId="0" fontId="2" fillId="9" borderId="0" applyAlignment="1" pivotButton="0" quotePrefix="0" xfId="0">
      <alignment vertical="top" wrapText="1"/>
    </xf>
    <xf numFmtId="0" fontId="4" fillId="2" borderId="1" applyAlignment="1" pivotButton="0" quotePrefix="0" xfId="0">
      <alignment vertical="center" wrapText="1"/>
    </xf>
    <xf numFmtId="0" fontId="5" fillId="10" borderId="0" pivotButton="0" quotePrefix="0" xfId="0"/>
    <xf numFmtId="0" fontId="0" fillId="0" borderId="1" applyAlignment="1" pivotButton="0" quotePrefix="0" xfId="0">
      <alignment vertical="top" wrapText="1"/>
    </xf>
    <xf numFmtId="0" fontId="4" fillId="3" borderId="1" applyAlignment="1" pivotButton="0" quotePrefix="0" xfId="0">
      <alignment vertical="center" wrapText="1"/>
    </xf>
    <xf numFmtId="0" fontId="0" fillId="4" borderId="1" applyAlignment="1" pivotButton="0" quotePrefix="0" xfId="0">
      <alignment vertical="top" wrapText="1"/>
    </xf>
    <xf numFmtId="0" fontId="5" fillId="10" borderId="0" applyAlignment="1" pivotButton="0" quotePrefix="0" xfId="0">
      <alignment vertical="top" wrapText="1"/>
    </xf>
    <xf numFmtId="0" fontId="5" fillId="0"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8" borderId="0" pivotButton="0" quotePrefix="0" xfId="0"/>
    <xf numFmtId="0" fontId="0" fillId="9" borderId="0" pivotButton="0" quotePrefix="0" xfId="0"/>
  </cellXfs>
  <cellStyles count="1">
    <cellStyle name="Normal" xfId="0" builtinId="0" hidden="0"/>
  </cellStyles>
  <dxfs count="5">
    <dxf>
      <fill>
        <patternFill patternType="solid">
          <fgColor rgb="00C6F6D5"/>
        </patternFill>
      </fill>
    </dxf>
    <dxf>
      <fill>
        <patternFill patternType="solid">
          <fgColor rgb="00FEF3C7"/>
        </patternFill>
      </fill>
    </dxf>
    <dxf>
      <fill>
        <patternFill patternType="solid">
          <fgColor rgb="00FECACA"/>
        </patternFill>
      </fill>
    </dxf>
    <dxf>
      <fill>
        <patternFill patternType="solid">
          <fgColor rgb="00E5E7EB"/>
        </patternFill>
      </fill>
    </dxf>
    <dxf>
      <fill>
        <patternFill patternType="solid">
          <fgColor rgb="00FFFF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2937"/>
    <outlinePr summaryBelow="1" summaryRight="1"/>
    <pageSetUpPr/>
  </sheetPr>
  <dimension ref="A1:F72"/>
  <sheetViews>
    <sheetView workbookViewId="0">
      <selection activeCell="A1" sqref="A1"/>
    </sheetView>
  </sheetViews>
  <sheetFormatPr baseColWidth="8" defaultRowHeight="15"/>
  <cols>
    <col width="34" customWidth="1" min="1" max="1"/>
    <col width="30" customWidth="1" min="2" max="2"/>
    <col width="30" customWidth="1" min="3" max="3"/>
    <col width="22" customWidth="1" min="4" max="4"/>
    <col width="22" customWidth="1" min="5" max="5"/>
    <col width="22" customWidth="1" min="6" max="6"/>
  </cols>
  <sheetData>
    <row r="1" ht="22" customHeight="1">
      <c r="A1" s="1" t="inlineStr">
        <is>
          <t>Nyarlathotep, Lord of Chaos — dev server test round 1: events set up as a real server would run them</t>
        </is>
      </c>
    </row>
    <row r="2" ht="19" customHeight="1">
      <c r="A2" s="2" t="inlineStr">
        <is>
          <t>Build: test build 0.13.0-rc.3 (apocalypse, unit watch, faction wave templates, pursuit and the timed and onslaught waves, before release). Prepared 2026-10-16.</t>
        </is>
      </c>
    </row>
    <row r="3" ht="19" customHeight="1">
      <c r="A3" s="2" t="inlineStr">
        <is>
          <t>Download: https://github.com/KDavidP1987/Nyarlathotep-Lord-of-Chaos/releases/tag/v0.13.0-rc.3</t>
        </is>
      </c>
    </row>
    <row r="5" ht="19" customHeight="1">
      <c r="A5" s="3" t="inlineStr">
        <is>
          <t>Installing the build on the test server (once, by whoever runs that server)</t>
        </is>
      </c>
    </row>
    <row r="6" ht="34" customHeight="1">
      <c r="A6" s="2" t="inlineStr">
        <is>
          <t>1. Open the download page (link above) and download Nyarlathotep-0.13.0-rc.3.zip, this workbook and its reading copy -&gt; the zip holds Nyarlathotep.dll and a short install note.</t>
        </is>
      </c>
    </row>
    <row r="7" ht="19" customHeight="1">
      <c r="A7" s="2" t="inlineStr">
        <is>
          <t>2. Stop the V Rising dedicated server -&gt; a running server locks its mod files, so a copy over them fails.</t>
        </is>
      </c>
    </row>
    <row r="8" ht="34" customHeight="1">
      <c r="A8" s="2" t="inlineStr">
        <is>
          <t>3. Install BepInExPack V Rising 1.733.2 on the server, with a mod manager's dedicated-server profile or by unzipping it into the server's folder so the BepInEx folder sits next to VRisingServer.exe; start the server once and stop it -&gt; BepInEx creates its plugins and config folders.</t>
        </is>
      </c>
    </row>
    <row r="9" ht="19" customHeight="1">
      <c r="A9" s="2" t="inlineStr">
        <is>
          <t>4. Put VampireCommandFramework 0.10.4 (VampireCommandFramework.dll) in the server's BepInEx/plugins folder -&gt; it is the chat command library the mod needs.</t>
        </is>
      </c>
    </row>
    <row r="10" ht="19" customHeight="1">
      <c r="A10" s="2" t="inlineStr">
        <is>
          <t>5. Put Nyarlathotep.dll from the zip in the same BepInEx/plugins folder, replacing any older copy -&gt; one copy only.</t>
        </is>
      </c>
    </row>
    <row r="11" ht="19" customHeight="1">
      <c r="A11" s="2" t="inlineStr">
        <is>
          <t>6. Start the server and open BepInEx/LogOutput.log -&gt; a line 'Plugin kdpen.Nyarlathotep v0.13.0-rc.3 loaded' appears, and BepInEx/config gains kdpen.Nyarlathotep.cfg.</t>
        </is>
      </c>
    </row>
    <row r="12" ht="34" customHeight="1">
      <c r="A12" s="2" t="inlineStr">
        <is>
          <t>7. So players see events as they would on a live server: stop the server, open BepInEx/config/kdpen.Nyarlathotep.cfg, set EventBanners = true under [Announcements], save, start the server -&gt; from now on everyone gets a server-wide line when an event starts and when it ends.</t>
        </is>
      </c>
    </row>
    <row r="13" ht="34" customHeight="1">
      <c r="A13" s="2" t="inlineStr">
        <is>
          <t>8. Make each tester an admin: add their Steam ID (the 17-digit number) on its own line to adminlist.txt in the server's save data Settings folder, then restart the server -&gt; in game, with the console switched on in Options, press the ~ key and type adminauth.</t>
        </is>
      </c>
    </row>
    <row r="14" ht="34" customHeight="1">
      <c r="A14" s="2" t="inlineStr">
        <is>
          <t>9. In game, type .nyar in chat -&gt; the first line reads 'Nyarlathotep, Lord of Chaos (v0.13.0-rc.3)' and the admin commands are listed. Everything ships switched off; each row turns on what it needs.</t>
        </is>
      </c>
    </row>
    <row r="15" ht="34" customHeight="1">
      <c r="A15" s="2" t="inlineStr">
        <is>
          <t>10. For a newer test build later: stop the server, replace Nyarlathotep.dll, start it -&gt; the version line shows the new build. To remove the mod: type .nyar purge then .nyar purge confirm, stop the server, delete the file -&gt; no monster of ours is left behind.</t>
        </is>
      </c>
    </row>
    <row r="17" ht="19" customHeight="1">
      <c r="A17" s="3" t="inlineStr">
        <is>
          <t>Tester details — one column each. The line under each field says why we ask.</t>
        </is>
      </c>
    </row>
    <row r="18">
      <c r="A18" s="4" t="inlineStr">
        <is>
          <t>Field</t>
        </is>
      </c>
      <c r="B18" s="5" t="inlineStr">
        <is>
          <t>Tester A</t>
        </is>
      </c>
      <c r="C18" s="5" t="inlineStr">
        <is>
          <t>Tester B</t>
        </is>
      </c>
      <c r="D18" s="4" t="inlineStr">
        <is>
          <t>Why we ask</t>
        </is>
      </c>
    </row>
    <row r="19" ht="49" customHeight="1">
      <c r="A19" s="6" t="inlineStr">
        <is>
          <t>Name</t>
        </is>
      </c>
      <c r="B19" s="7" t="n"/>
      <c r="C19" s="7" t="n"/>
      <c r="D19" s="6" t="inlineStr">
        <is>
          <t>So we know whose notes these are when two of you return one file.</t>
        </is>
      </c>
    </row>
    <row r="20" ht="64" customHeight="1">
      <c r="A20" s="6" t="inlineStr">
        <is>
          <t>Timezone</t>
        </is>
      </c>
      <c r="B20" s="7" t="n"/>
      <c r="C20" s="7" t="n"/>
      <c r="D20" s="6" t="inlineStr">
        <is>
          <t>Schedules run on the server's clock; your own time zone explains a 'wrong hour' report.</t>
        </is>
      </c>
    </row>
    <row r="21" ht="64" customHeight="1">
      <c r="A21" s="6" t="inlineStr">
        <is>
          <t>PC (make, model, rough age)</t>
        </is>
      </c>
      <c r="B21" s="7" t="n"/>
      <c r="C21" s="7" t="n"/>
      <c r="D21" s="6" t="inlineStr">
        <is>
          <t>Frame drops during large fights depend on the machine as much as the server.</t>
        </is>
      </c>
    </row>
    <row r="22" ht="64" customHeight="1">
      <c r="A22" s="6" t="inlineStr">
        <is>
          <t>Windows version</t>
        </is>
      </c>
      <c r="B22" s="7" t="n"/>
      <c r="C22" s="7" t="n"/>
      <c r="D22" s="6" t="inlineStr">
        <is>
          <t>Rarely matters for a server mod, but costs nothing and closes a question.</t>
        </is>
      </c>
    </row>
    <row r="23" ht="64" customHeight="1">
      <c r="A23" s="6" t="inlineStr">
        <is>
          <t>V Rising version (title screen)</t>
        </is>
      </c>
      <c r="B23" s="7" t="n"/>
      <c r="C23" s="7" t="n"/>
      <c r="D23" s="6" t="inlineStr">
        <is>
          <t>A client older than the server cannot join; it also ties a report to a game patch.</t>
        </is>
      </c>
    </row>
    <row r="24" ht="64" customHeight="1">
      <c r="A24" s="6" t="inlineStr">
        <is>
          <t>Display size and scaling</t>
        </is>
      </c>
      <c r="B24" s="7" t="n"/>
      <c r="C24" s="7" t="n"/>
      <c r="D24" s="6" t="inlineStr">
        <is>
          <t>Chat lines can wrap or clip at high scaling; a cut-off line is otherwise unattributable.</t>
        </is>
      </c>
    </row>
    <row r="25" ht="64" customHeight="1">
      <c r="A25" s="6" t="inlineStr">
        <is>
          <t>Input (mouse and keyboard, controller)</t>
        </is>
      </c>
      <c r="B25" s="7" t="n"/>
      <c r="C25" s="7" t="n"/>
      <c r="D25" s="6" t="inlineStr">
        <is>
          <t>Some rows ask you to climb, kite or stand still; input changes how that goes.</t>
        </is>
      </c>
    </row>
    <row r="26" ht="64" customHeight="1">
      <c r="A26" s="6" t="inlineStr">
        <is>
          <t>Connection (wired, wifi, rough ping)</t>
        </is>
      </c>
      <c r="B26" s="7" t="n"/>
      <c r="C26" s="7" t="n"/>
      <c r="D26" s="6" t="inlineStr">
        <is>
          <t>Units that jump or rubber-band can be lag on your side rather than the mod.</t>
        </is>
      </c>
    </row>
    <row r="27" ht="64" customHeight="1">
      <c r="A27" s="6" t="inlineStr">
        <is>
          <t>Character gear level at start</t>
        </is>
      </c>
      <c r="B27" s="7" t="n"/>
      <c r="C27" s="7" t="n"/>
      <c r="D27" s="6" t="inlineStr">
        <is>
          <t>Event difficulty is set by level; your level explains 'too easy' or 'too hard'.</t>
        </is>
      </c>
    </row>
    <row r="28" ht="64" customHeight="1">
      <c r="A28" s="6" t="inlineStr">
        <is>
          <t>Admin on the dev server? (yes or no)</t>
        </is>
      </c>
      <c r="B28" s="7" t="n"/>
      <c r="C28" s="7" t="n"/>
      <c r="D28" s="6" t="inlineStr">
        <is>
          <t>Setting up events needs admin rights; rows marked admin come back Blocked without them.</t>
        </is>
      </c>
    </row>
    <row r="29" ht="64" customHeight="1">
      <c r="A29" s="6" t="inlineStr">
        <is>
          <t>Date started</t>
        </is>
      </c>
      <c r="B29" s="7" t="n"/>
      <c r="C29" s="7" t="n"/>
      <c r="D29" s="6" t="inlineStr">
        <is>
          <t>Ties the round to a build; the dev server may be updated during the round.</t>
        </is>
      </c>
    </row>
    <row r="30" ht="19" customHeight="1">
      <c r="A30" s="6" t="inlineStr">
        <is>
          <t>Date finished</t>
        </is>
      </c>
      <c r="B30" s="7" t="n"/>
      <c r="C30" s="7" t="n"/>
      <c r="D30" s="6" t="inlineStr">
        <is>
          <t>As above.</t>
        </is>
      </c>
    </row>
    <row r="31" ht="49" customHeight="1">
      <c r="A31" s="6" t="inlineStr">
        <is>
          <t>Rough hours spent</t>
        </is>
      </c>
      <c r="B31" s="7" t="n"/>
      <c r="C31" s="7" t="n"/>
      <c r="D31" s="6" t="inlineStr">
        <is>
          <t>Tells us whether the round is the right size for next time.</t>
        </is>
      </c>
    </row>
    <row r="33" ht="19" customHeight="1">
      <c r="A33" s="3" t="inlineStr">
        <is>
          <t>Where your last round's findings went</t>
        </is>
      </c>
    </row>
    <row r="34" ht="34" customHeight="1">
      <c r="A34" s="2" t="inlineStr">
        <is>
          <t>This is the first round, so there are no earlier findings to account for. From round two, this block lists every finding you sent, by your reference, and what happened to it.</t>
        </is>
      </c>
    </row>
    <row r="35" ht="19" customHeight="1">
      <c r="A35" s="3" t="inlineStr">
        <is>
          <t>What we could not check ourselves, and why</t>
        </is>
      </c>
    </row>
    <row r="36" ht="34" customHeight="1">
      <c r="A36" s="2" t="inlineStr">
        <is>
          <t>• Anything that needs a second player. Our own test tool plays one character alone, and it is invulnerable, so monsters never truly chase it. Every row that needs two of you says so.</t>
        </is>
      </c>
    </row>
    <row r="37" ht="34" customHeight="1">
      <c r="A37" s="2" t="inlineStr">
        <is>
          <t>• A real player in danger. Because our character cannot be hurt, we could never see a monster that wants to reach a player but cannot (the stuck-unit rows), or how an ambush feels when it can actually kill you.</t>
        </is>
      </c>
    </row>
    <row r="38" ht="34" customHeight="1">
      <c r="A38" s="2" t="inlineStr">
        <is>
          <t>• How it feels. Whether a fight is fun, an announcement reads well, a jump looks natural, or the server stays smooth while a hundred monsters roam: only people playing can judge that.</t>
        </is>
      </c>
    </row>
    <row r="39" ht="34" customHeight="1">
      <c r="A39" s="2" t="inlineStr">
        <is>
          <t>• Real triggers. We start events by command. A schedule, nightfall, a V Blood kill, walking into a region and killing a faction's people are the ways events start on a real server, and they need real play.</t>
        </is>
      </c>
    </row>
    <row r="40" ht="19" customHeight="1">
      <c r="A40" s="3" t="inlineStr">
        <is>
          <t>Your access</t>
        </is>
      </c>
    </row>
    <row r="41" ht="49" customHeight="1">
      <c r="A41" s="2" t="inlineStr">
        <is>
          <t>Connect to the dev server, the test server set up with the steps under 'Installing the build', at the address its admin gives you (Direct Connect, not the server list). 20 of the 22 rows need admin rights: the owner adds you as an admin before the round, and you type '.nyar' in chat to confirm you see the admin commands. Rows that need admin say so under 'You will need'.</t>
        </is>
      </c>
    </row>
    <row r="43" ht="19" customHeight="1">
      <c r="A43" s="3" t="inlineStr">
        <is>
          <t>How this workbook works</t>
        </is>
      </c>
    </row>
    <row r="44" ht="19" customHeight="1">
      <c r="A44" s="2" t="inlineStr">
        <is>
          <t>• What changed: read first: every row, what it is and how to check it. Nothing to type.</t>
        </is>
      </c>
    </row>
    <row r="45" ht="19" customHeight="1">
      <c r="A45" s="2" t="inlineStr">
        <is>
          <t>• Known limits: what will look like a fault and is not. Read before starting.</t>
        </is>
      </c>
    </row>
    <row r="46" ht="19" customHeight="1">
      <c r="A46" s="2" t="inlineStr">
        <is>
          <t>• Test plan: one line per test: your result goes here.</t>
        </is>
      </c>
    </row>
    <row r="47" ht="19" customHeight="1">
      <c r="A47" s="2" t="inlineStr">
        <is>
          <t>• Test steps: every step of every test, each with OK, Problem or Skipped.</t>
        </is>
      </c>
    </row>
    <row r="48" ht="19" customHeight="1">
      <c r="A48" s="2" t="inlineStr">
        <is>
          <t>• Anything new: anything you notice that is not on a row.</t>
        </is>
      </c>
    </row>
    <row r="49" ht="19" customHeight="1">
      <c r="A49" s="2" t="inlineStr">
        <is>
          <t>• Progress: counts itself. Nothing to fill in.</t>
        </is>
      </c>
    </row>
    <row r="50" ht="19" customHeight="1">
      <c r="A50" s="3" t="inlineStr">
        <is>
          <t>Results (Test plan)</t>
        </is>
      </c>
    </row>
    <row r="51" ht="19" customHeight="1">
      <c r="A51" s="8" t="inlineStr">
        <is>
          <t>• Pass: Does what the row says, and nothing bothered you.</t>
        </is>
      </c>
    </row>
    <row r="52" ht="19" customHeight="1">
      <c r="A52" s="9" t="inlineStr">
        <is>
          <t>• Partial pass: Anything in between: most steps work and one does not, or it works but something else went wrong.</t>
        </is>
      </c>
    </row>
    <row r="53" ht="19" customHeight="1">
      <c r="A53" s="10" t="inlineStr">
        <is>
          <t>• Fail: Does not do what the row says.</t>
        </is>
      </c>
    </row>
    <row r="54" ht="19" customHeight="1">
      <c r="A54" s="11" t="inlineStr">
        <is>
          <t>• Blocked: Could not reach it: no second player, no admin rights, the server was down.</t>
        </is>
      </c>
    </row>
    <row r="55" ht="19" customHeight="1">
      <c r="A55" s="12" t="inlineStr">
        <is>
          <t>• Not tested yet: Nobody has started it.</t>
        </is>
      </c>
    </row>
    <row r="56" ht="19" customHeight="1">
      <c r="A56" s="3" t="inlineStr">
        <is>
          <t>Step results (Test steps)</t>
        </is>
      </c>
    </row>
    <row r="57" ht="19" customHeight="1">
      <c r="A57" s="8" t="inlineStr">
        <is>
          <t>• OK: The step did what it says.</t>
        </is>
      </c>
    </row>
    <row r="58" ht="19" customHeight="1">
      <c r="A58" s="10" t="inlineStr">
        <is>
          <t>• Problem: It did not, or something odd happened.</t>
        </is>
      </c>
    </row>
    <row r="59" ht="19" customHeight="1">
      <c r="A59" s="11" t="inlineStr">
        <is>
          <t>• Skipped: You could not do this step.</t>
        </is>
      </c>
    </row>
    <row r="60" ht="19" customHeight="1">
      <c r="A60" s="3" t="inlineStr">
        <is>
          <t>Row categories, in the order you meet them</t>
        </is>
      </c>
    </row>
    <row r="61" ht="19" customHeight="1">
      <c r="A61" s="2" t="inlineStr">
        <is>
          <t>• New</t>
        </is>
      </c>
    </row>
    <row r="62" ht="19" customHeight="1">
      <c r="A62" s="2" t="inlineStr">
        <is>
          <t>• Established feature — a fresh pair of eyes</t>
        </is>
      </c>
    </row>
    <row r="63" ht="19" customHeight="1">
      <c r="A63" s="2" t="inlineStr">
        <is>
          <t>• Not an ordinary test row</t>
        </is>
      </c>
    </row>
    <row r="64" ht="19" customHeight="1">
      <c r="A64" s="3" t="inlineStr">
        <is>
          <t>Reporting rules</t>
        </is>
      </c>
    </row>
    <row r="65" ht="19" customHeight="1">
      <c r="A65" s="2" t="inlineStr">
        <is>
          <t>• Put a name against every row in 'Assigned to' before either of you begins.</t>
        </is>
      </c>
    </row>
    <row r="66" ht="19" customHeight="1">
      <c r="A66" s="2" t="inlineStr">
        <is>
          <t>• Fill in 'Tested at' (date and time) on every row you test.</t>
        </is>
      </c>
    </row>
    <row r="67" ht="19" customHeight="1">
      <c r="A67" s="2" t="inlineStr">
        <is>
          <t>• If a row is not a clean Pass, fill in 'If not a clean pass — what is still wrong'. It is not optional.</t>
        </is>
      </c>
    </row>
    <row r="68" ht="19" customHeight="1">
      <c r="A68" s="2" t="inlineStr">
        <is>
          <t>• Say so plainly if something is wrong. A finding we disagree with is still worth having; give the evidence (a screenshot, the exact chat line) if you have it.</t>
        </is>
      </c>
    </row>
    <row r="69" ht="19" customHeight="1">
      <c r="A69" s="2" t="inlineStr">
        <is>
          <t>• If the two of you disagree about whether something is a fault, put both views in. A disagreement is a finding.</t>
        </is>
      </c>
    </row>
    <row r="70" ht="19" customHeight="1">
      <c r="A70" s="2" t="inlineStr">
        <is>
          <t>• Anything not on a row goes on 'Anything new'. Small things are welcome.</t>
        </is>
      </c>
    </row>
    <row r="71" ht="19" customHeight="1">
      <c r="A71" s="2" t="inlineStr">
        <is>
          <t>• Blocked is a real answer. If a row needs a second player or admin rights you do not have, mark it Blocked and move on rather than improvising.</t>
        </is>
      </c>
    </row>
    <row r="72" ht="19" customHeight="1">
      <c r="A72" s="2" t="inlineStr">
        <is>
          <t>• Chat commands are typed exactly as written, including the dot at the start. Text in angle brackets, such as &lt;id&gt;, is replaced by the value named.</t>
        </is>
      </c>
    </row>
  </sheetData>
  <mergeCells count="54">
    <mergeCell ref="A41:F41"/>
    <mergeCell ref="A54:F54"/>
    <mergeCell ref="A46:F46"/>
    <mergeCell ref="A66:F66"/>
    <mergeCell ref="A37:F37"/>
    <mergeCell ref="A12:F12"/>
    <mergeCell ref="A50:F50"/>
    <mergeCell ref="A56:F56"/>
    <mergeCell ref="A3:F3"/>
    <mergeCell ref="A55:F55"/>
    <mergeCell ref="A57:F57"/>
    <mergeCell ref="A2:F2"/>
    <mergeCell ref="A33:F33"/>
    <mergeCell ref="A71:F71"/>
    <mergeCell ref="A47:F47"/>
    <mergeCell ref="A14:F14"/>
    <mergeCell ref="A5:F5"/>
    <mergeCell ref="A8:F8"/>
    <mergeCell ref="A17:F17"/>
    <mergeCell ref="A35:F35"/>
    <mergeCell ref="A62:F62"/>
    <mergeCell ref="A53:F53"/>
    <mergeCell ref="A72:F72"/>
    <mergeCell ref="A43:F43"/>
    <mergeCell ref="A38:F38"/>
    <mergeCell ref="A63:F63"/>
    <mergeCell ref="A52:F52"/>
    <mergeCell ref="A10:F10"/>
    <mergeCell ref="A13:F13"/>
    <mergeCell ref="A68:F68"/>
    <mergeCell ref="A44:F44"/>
    <mergeCell ref="A9:F9"/>
    <mergeCell ref="A67:F67"/>
    <mergeCell ref="A58:F58"/>
    <mergeCell ref="A34:F34"/>
    <mergeCell ref="A40:F40"/>
    <mergeCell ref="A48:F48"/>
    <mergeCell ref="A39:F39"/>
    <mergeCell ref="A15:F15"/>
    <mergeCell ref="A59:F59"/>
    <mergeCell ref="A64:F64"/>
    <mergeCell ref="A11:F11"/>
    <mergeCell ref="A49:F49"/>
    <mergeCell ref="A51:F51"/>
    <mergeCell ref="A60:F60"/>
    <mergeCell ref="A36:F36"/>
    <mergeCell ref="A1:F1"/>
    <mergeCell ref="A45:F45"/>
    <mergeCell ref="A70:F70"/>
    <mergeCell ref="A61:F61"/>
    <mergeCell ref="A6:F6"/>
    <mergeCell ref="A69:F69"/>
    <mergeCell ref="A7:F7"/>
    <mergeCell ref="A65:F65"/>
  </mergeCells>
  <pageMargins left="0.75" right="0.75" top="1" bottom="1" header="0.5" footer="0.5"/>
</worksheet>
</file>

<file path=xl/worksheets/sheet2.xml><?xml version="1.0" encoding="utf-8"?>
<worksheet xmlns="http://schemas.openxmlformats.org/spreadsheetml/2006/main">
  <sheetPr>
    <tabColor rgb="006D28D9"/>
    <outlinePr summaryBelow="1" summaryRight="1"/>
    <pageSetUpPr/>
  </sheetPr>
  <dimension ref="A1:F2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18" customWidth="1" min="2" max="2"/>
    <col width="40" customWidth="1" min="3" max="3"/>
    <col width="34" customWidth="1" min="4" max="4"/>
    <col width="40" customWidth="1" min="5" max="5"/>
    <col width="40" customWidth="1" min="6" max="6"/>
  </cols>
  <sheetData>
    <row r="1" ht="32" customHeight="1">
      <c r="A1" s="13" t="inlineStr">
        <is>
          <t>Row id</t>
        </is>
      </c>
      <c r="B1" s="13" t="inlineStr">
        <is>
          <t>Area</t>
        </is>
      </c>
      <c r="C1" s="13" t="inlineStr">
        <is>
          <t>What it is</t>
        </is>
      </c>
      <c r="D1" s="13" t="inlineStr">
        <is>
          <t>What was missing before</t>
        </is>
      </c>
      <c r="E1" s="13" t="inlineStr">
        <is>
          <t>What it does now</t>
        </is>
      </c>
      <c r="F1" s="13" t="inlineStr">
        <is>
          <t>How to check it</t>
        </is>
      </c>
    </row>
    <row r="2" ht="21" customHeight="1">
      <c r="A2" s="14" t="inlineStr">
        <is>
          <t>New</t>
        </is>
      </c>
    </row>
    <row r="3" ht="49" customHeight="1">
      <c r="A3" s="15" t="inlineStr">
        <is>
          <t>N-01</t>
        </is>
      </c>
      <c r="B3" s="15" t="inlineStr">
        <is>
          <t>Getting set up</t>
        </is>
      </c>
      <c r="C3" s="15" t="inlineStr">
        <is>
          <t>First look: the command list and the status line</t>
        </is>
      </c>
      <c r="D3" s="15" t="inlineStr">
        <is>
          <t>New — this did not exist on the server before.</t>
        </is>
      </c>
      <c r="E3" s="15" t="inlineStr">
        <is>
          <t>Every feature is an 'event' an admin sets up. Before anything else, check the basics answer you.</t>
        </is>
      </c>
      <c r="F3" s="15" t="inlineStr">
        <is>
          <t>Type .nyar in chat</t>
        </is>
      </c>
    </row>
    <row r="4" ht="49" customHeight="1">
      <c r="A4" s="15" t="inlineStr">
        <is>
          <t>N-02</t>
        </is>
      </c>
      <c r="B4" s="15" t="inlineStr">
        <is>
          <t>Faction empowerment</t>
        </is>
      </c>
      <c r="C4" s="15" t="inlineStr">
        <is>
          <t>Undead grow stronger at nightfall (a night-time event)</t>
        </is>
      </c>
      <c r="D4" s="15" t="inlineStr">
        <is>
          <t>New — this did not exist on the server before.</t>
        </is>
      </c>
      <c r="E4" s="15" t="inlineStr">
        <is>
          <t>The 'Undead nightfall' template buffs every undead NPC for 20 minutes when night falls in game.</t>
        </is>
      </c>
      <c r="F4" s="15" t="inlineStr">
        <is>
          <t>Type .nyar template use undead-nightfall</t>
        </is>
      </c>
    </row>
    <row r="5" ht="64" customHeight="1">
      <c r="A5" s="15" t="inlineStr">
        <is>
          <t>N-03</t>
        </is>
      </c>
      <c r="B5" s="15" t="inlineStr">
        <is>
          <t>Faction empowerment</t>
        </is>
      </c>
      <c r="C5" s="15" t="inlineStr">
        <is>
          <t>A weekly surge on a schedule (day and time)</t>
        </is>
      </c>
      <c r="D5" s="15" t="inlineStr">
        <is>
          <t>New — this did not exist on the server before.</t>
        </is>
      </c>
      <c r="E5" s="15" t="inlineStr">
        <is>
          <t>'Legion weekend surge' empowers the Legion on Saturdays at 20:00. Here you move its time to a few minutes from now, as an admin planning a real evening would.</t>
        </is>
      </c>
      <c r="F5" s="15" t="inlineStr">
        <is>
          <t>Type .nyar template use legion-weekend-surge and .nyar pillar empowerment on.</t>
        </is>
      </c>
    </row>
    <row r="6" ht="64" customHeight="1">
      <c r="A6" s="15" t="inlineStr">
        <is>
          <t>N-04</t>
        </is>
      </c>
      <c r="B6" s="15" t="inlineStr">
        <is>
          <t>Faction empowerment</t>
        </is>
      </c>
      <c r="C6" s="15" t="inlineStr">
        <is>
          <t>Bandits take revenge for a fallen V Blood leader</t>
        </is>
      </c>
      <c r="D6" s="15" t="inlineStr">
        <is>
          <t>New — this did not exist on the server before.</t>
        </is>
      </c>
      <c r="E6" s="15" t="inlineStr">
        <is>
          <t>'Bandit vengeance' empowers all bandits for 10 minutes when one of the bandit V Blood leaders dies, with a 30-minute cooldown.</t>
        </is>
      </c>
      <c r="F6" s="15" t="inlineStr">
        <is>
          <t>Type .nyar template use bandit-vengeance, .nyar pillar empowerment on, .nyar event enable bandit-vengeance.</t>
        </is>
      </c>
    </row>
    <row r="7" ht="64" customHeight="1">
      <c r="A7" s="15" t="inlineStr">
        <is>
          <t>N-05</t>
        </is>
      </c>
      <c r="B7" s="15" t="inlineStr">
        <is>
          <t>Spawn events</t>
        </is>
      </c>
      <c r="C7" s="15" t="inlineStr">
        <is>
          <t>An ambush waiting at a spot you choose</t>
        </is>
      </c>
      <c r="D7" s="15" t="inlineStr">
        <is>
          <t>New — this did not exist on the server before.</t>
        </is>
      </c>
      <c r="E7" s="15" t="inlineStr">
        <is>
          <t>The admin picks the place first and can then start the event from anywhere. 'Bandit ambush' brings 3 waves of bandits to the saved spot, a minute apart.</t>
        </is>
      </c>
      <c r="F7" s="15" t="inlineStr">
        <is>
          <t>Type .nyar template use bandit-ambush and .nyar pillar spawns on</t>
        </is>
      </c>
    </row>
    <row r="8" ht="79" customHeight="1">
      <c r="A8" s="15" t="inlineStr">
        <is>
          <t>N-06</t>
        </is>
      </c>
      <c r="B8" s="15" t="inlineStr">
        <is>
          <t>Spawn events</t>
        </is>
      </c>
      <c r="C8" s="15" t="inlineStr">
        <is>
          <t>Graveyard waves: three waves, a guardian and a scoreboard</t>
        </is>
      </c>
      <c r="D8" s="15" t="inlineStr">
        <is>
          <t>New — this did not exist on the server before.</t>
        </is>
      </c>
      <c r="E8" s="15" t="inlineStr">
        <is>
          <t>'Graveyard waves' sends three growing waves of armoured skeletons at a random online player, each wave after the last is cleared, ending with an Undead Guardian. A scoreboard ranks the players.</t>
        </is>
      </c>
      <c r="F8" s="15" t="inlineStr">
        <is>
          <t>Type .nyar template use graveyard-waves, .nyar event enable graveyard-waves.</t>
        </is>
      </c>
    </row>
    <row r="9" ht="79" customHeight="1">
      <c r="A9" s="15" t="inlineStr">
        <is>
          <t>N-07</t>
        </is>
      </c>
      <c r="B9" s="15" t="inlineStr">
        <is>
          <t>Spawn events</t>
        </is>
      </c>
      <c r="C9" s="15" t="inlineStr">
        <is>
          <t>Hunters that roam on their own (a random interval) and split up between players</t>
        </is>
      </c>
      <c r="D9" s="15" t="inlineStr">
        <is>
          <t>New — this did not exist on the server before.</t>
        </is>
      </c>
      <c r="E9" s="15" t="inlineStr">
        <is>
          <t>'Roaming hunters' starts by itself every 60-90 minutes, sending a bandit squad at up to 3 players who are at least 150 m apart. Here the interval is shortened to 5 minutes.</t>
        </is>
      </c>
      <c r="F9" s="15" t="inlineStr">
        <is>
          <t>Type .nyar template use roaming-hunters, .nyar event enable roaming-hunters.</t>
        </is>
      </c>
    </row>
    <row r="10" ht="64" customHeight="1">
      <c r="A10" s="15" t="inlineStr">
        <is>
          <t>N-08</t>
        </is>
      </c>
      <c r="B10" s="15" t="inlineStr">
        <is>
          <t>Spawn events</t>
        </is>
      </c>
      <c r="C10" s="15" t="inlineStr">
        <is>
          <t>The border watch rides out when you enter Dunley Farmlands</t>
        </is>
      </c>
      <c r="D10" s="15" t="inlineStr">
        <is>
          <t>New — this did not exist on the server before.</t>
        </is>
      </c>
      <c r="E10" s="15" t="inlineStr">
        <is>
          <t>'Border watch' sends a militia patrol at a player who walks into Dunley Farmlands, at most once every 30 minutes per player.</t>
        </is>
      </c>
      <c r="F10" s="15" t="inlineStr">
        <is>
          <t>Type .nyar template use border-watch, .nyar event enable border-watch.</t>
        </is>
      </c>
    </row>
    <row r="11" ht="64" customHeight="1">
      <c r="A11" s="15" t="inlineStr">
        <is>
          <t>N-09</t>
        </is>
      </c>
      <c r="B11" s="15" t="inlineStr">
        <is>
          <t>Spawn events</t>
        </is>
      </c>
      <c r="C11" s="15" t="inlineStr">
        <is>
          <t>Bandit reprisal after a killing spree</t>
        </is>
      </c>
      <c r="D11" s="15" t="inlineStr">
        <is>
          <t>New — this did not exist on the server before.</t>
        </is>
      </c>
      <c r="E11" s="15" t="inlineStr">
        <is>
          <t>'Bandit reprisal' sends a squad when one player kills many bandits in a short time. Set here to 10 kills in 10 minutes, a realistic setting for a small server.</t>
        </is>
      </c>
      <c r="F11" s="15" t="inlineStr">
        <is>
          <t>Type .nyar template use bandit-reprisal, .nyar event enable bandit-reprisal.</t>
        </is>
      </c>
    </row>
    <row r="12" ht="94" customHeight="1">
      <c r="A12" s="15" t="inlineStr">
        <is>
          <t>N-10</t>
        </is>
      </c>
      <c r="B12" s="15" t="inlineStr">
        <is>
          <t>Swarm</t>
        </is>
      </c>
      <c r="C12" s="15" t="inlineStr">
        <is>
          <t>A scheduled arena night: the spider swarm at a set place and time</t>
        </is>
      </c>
      <c r="D12" s="15" t="inlineStr">
        <is>
          <t>New — this did not exist on the server before.</t>
        </is>
      </c>
      <c r="E12" s="15" t="inlineStr">
        <is>
          <t>How a server runs a weekly event: the admin picks the arena, sets the day and time and tells the players. The swarm then starts by itself: 5 growing waves in the arena, the Spider Queen last, and the best kills-to-deaths ratio wins.</t>
        </is>
      </c>
      <c r="F12" s="15" t="inlineStr">
        <is>
          <t>Type .nyar template use spider-swarm. Stand in the middle of your arena and type .nyar event set spider-swarm location here</t>
        </is>
      </c>
    </row>
    <row r="13" ht="79" customHeight="1">
      <c r="A13" s="15" t="inlineStr">
        <is>
          <t>N-11</t>
        </is>
      </c>
      <c r="B13" s="15" t="inlineStr">
        <is>
          <t>Hunting grounds</t>
        </is>
      </c>
      <c r="C13" s="15" t="inlineStr">
        <is>
          <t>Spider hunting grounds: spiders roam a whole region and hunt whoever is inside</t>
        </is>
      </c>
      <c r="D13" s="15" t="inlineStr">
        <is>
          <t>New — this did not exist on the server before.</t>
        </is>
      </c>
      <c r="E13" s="15" t="inlineStr">
        <is>
          <t>'Spider hunting grounds' spreads spider groups over Dunley Farmlands; they hunt players inside the region and never chase anyone out of it. The last wave brings the Spider Queen.</t>
        </is>
      </c>
      <c r="F13" s="15" t="inlineStr">
        <is>
          <t>Type .nyar template use spider-hunting-grounds, .nyar event enable spider-hunting-grounds, .nyar event start spider-hunting-grounds.</t>
        </is>
      </c>
    </row>
    <row r="14" ht="79" customHeight="1">
      <c r="A14" s="15" t="inlineStr">
        <is>
          <t>N-12</t>
        </is>
      </c>
      <c r="B14" s="15" t="inlineStr">
        <is>
          <t>Hunting grounds</t>
        </is>
      </c>
      <c r="C14" s="15" t="inlineStr">
        <is>
          <t>A regional ambush: only players inside the region are picked</t>
        </is>
      </c>
      <c r="D14" s="15" t="inlineStr">
        <is>
          <t>New — this did not exist on the server before.</t>
        </is>
      </c>
      <c r="E14" s="15" t="inlineStr">
        <is>
          <t>An admin turns the graveyard waves into an ambush that only hits players in Farbane Woods, and keeps the undead from chasing them out. This is set up from chat, as an admin would on a live server.</t>
        </is>
      </c>
      <c r="F14" s="15" t="inlineStr">
        <is>
          <t>Type .nyar template use graveyard-waves as farbane-ambush, then .nyar event enable farbane-ambush.</t>
        </is>
      </c>
    </row>
    <row r="15" ht="79" customHeight="1">
      <c r="A15" s="15" t="inlineStr">
        <is>
          <t>N-13</t>
        </is>
      </c>
      <c r="B15" s="15" t="inlineStr">
        <is>
          <t>Revenge</t>
        </is>
      </c>
      <c r="C15" s="15" t="inlineStr">
        <is>
          <t>Bandit revenge: warnings, then a private hunt</t>
        </is>
      </c>
      <c r="D15" s="15" t="inlineStr">
        <is>
          <t>New — this did not exist on the server before.</t>
        </is>
      </c>
      <c r="E15" s="15" t="inlineStr">
        <is>
          <t>Kill enough bandits and they swear revenge on you alone: private warnings as their anger grows, a server alert that names no one, then three waves that hunt only you.</t>
        </is>
      </c>
      <c r="F15" s="15" t="inlineStr">
        <is>
          <t>Type .nyar template use bandit-revenge, .nyar event enable bandit-revenge.</t>
        </is>
      </c>
    </row>
    <row r="16" ht="94" customHeight="1">
      <c r="A16" s="15" t="inlineStr">
        <is>
          <t>N-14</t>
        </is>
      </c>
      <c r="B16" s="15" t="inlineStr">
        <is>
          <t>Apocalypse</t>
        </is>
      </c>
      <c r="C16" s="15" t="inlineStr">
        <is>
          <t>Zombie apocalypse: a two-hour outbreak the server has to survive</t>
        </is>
      </c>
      <c r="D16" s="15" t="inlineStr">
        <is>
          <t>New — this did not exist on the server before.</t>
        </is>
      </c>
      <c r="E16" s="15" t="inlineStr">
        <is>
          <t>The undead rise at three hotspots, roamers hunt players across the map and spread with every kill, and four hordes march on a place the admin names for the server to defend. The last horde brings the Bishop of Death.</t>
        </is>
      </c>
      <c r="F16" s="15" t="inlineStr">
        <is>
          <t>Type .nyar template use zombie-apocalypse and .nyar event set zombie-apocalypse durationSeconds 7200.</t>
        </is>
      </c>
    </row>
    <row r="17" ht="79" customHeight="1">
      <c r="A17" s="15" t="inlineStr">
        <is>
          <t>N-15</t>
        </is>
      </c>
      <c r="B17" s="15" t="inlineStr">
        <is>
          <t>Unit watch</t>
        </is>
      </c>
      <c r="C17" s="15" t="inlineStr">
        <is>
          <t>A monster that cannot reach you is moved, and a wave never hangs</t>
        </is>
      </c>
      <c r="D17" s="15" t="inlineStr">
        <is>
          <t>New — this did not exist on the server before.</t>
        </is>
      </c>
      <c r="E17" s="15" t="inlineStr">
        <is>
          <t>If a spawned monster wants a player but cannot reach them for 90 seconds, the server moves it out of sight; after two tries it removes it. Here a player stands where spiders cannot climb.</t>
        </is>
      </c>
      <c r="F17" s="15" t="inlineStr">
        <is>
          <t>Stand at the foot of the rock. Type .nyar template use spider-swarm as stuck-test, .nyar event enable stuck-test, .nyar event start stuck-test.</t>
        </is>
      </c>
    </row>
    <row r="18" ht="64" customHeight="1">
      <c r="A18" s="15" t="inlineStr">
        <is>
          <t>N-16</t>
        </is>
      </c>
      <c r="B18" s="15" t="inlineStr">
        <is>
          <t>Castles</t>
        </is>
      </c>
      <c r="C18" s="15" t="inlineStr">
        <is>
          <t>Castles stay safe: no spawns or jumps inside claimed territory</t>
        </is>
      </c>
      <c r="D18" s="15" t="inlineStr">
        <is>
          <t>New — this did not exist on the server before.</t>
        </is>
      </c>
      <c r="E18" s="15" t="inlineStr">
        <is>
          <t>Events never put monsters inside a claimed castle and never pick a player standing in their castle.</t>
        </is>
      </c>
      <c r="F18" s="15" t="inlineStr">
        <is>
          <t>Stand inside your castle territory with nobody else online outside one. Type .nyar event start graveyard-waves (set up in N-06)</t>
        </is>
      </c>
    </row>
    <row r="19" ht="49" customHeight="1">
      <c r="A19" s="15" t="inlineStr">
        <is>
          <t>N-17</t>
        </is>
      </c>
      <c r="B19" s="15" t="inlineStr">
        <is>
          <t>Admin safety</t>
        </is>
      </c>
      <c r="C19" s="15" t="inlineStr">
        <is>
          <t>Stopping things: event stop, switching a kind off, and the emergency stop</t>
        </is>
      </c>
      <c r="D19" s="15" t="inlineStr">
        <is>
          <t>New — this did not exist on the server before.</t>
        </is>
      </c>
      <c r="E19" s="15" t="inlineStr">
        <is>
          <t>Admins must always be able to stop everything. Three ways, from gentle to emergency.</t>
        </is>
      </c>
      <c r="F19" s="15" t="inlineStr">
        <is>
          <t>Start graveyard-waves, then type .nyar event stop graveyard-waves</t>
        </is>
      </c>
    </row>
    <row r="20" ht="94" customHeight="1">
      <c r="A20" s="15" t="inlineStr">
        <is>
          <t>N-18</t>
        </is>
      </c>
      <c r="B20" s="15" t="inlineStr">
        <is>
          <t>Spawn events</t>
        </is>
      </c>
      <c r="C20" s="15" t="inlineStr">
        <is>
          <t>Timed waves at a muster point: the next wave comes whether you are ready or not</t>
        </is>
      </c>
      <c r="D20" s="15" t="inlineStr">
        <is>
          <t>New — this did not exist on the server before.</t>
        </is>
      </c>
      <c r="E20" s="15" t="inlineStr">
        <is>
          <t>'Militia muster (timed)' brings 5 waves of militia to a place the admin saves, a new wave every 75 seconds even if the last is still alive, ending on the militia leader. Six other factions have a timed version too (names ending in -timed).</t>
        </is>
      </c>
      <c r="F20" s="15" t="inlineStr">
        <is>
          <t>Type .nyar template use militia-muster-timed. At an open spot in Dunley Farmlands type .nyar event set militia-muster-timed location here</t>
        </is>
      </c>
    </row>
    <row r="21" ht="124" customHeight="1">
      <c r="A21" s="15" t="inlineStr">
        <is>
          <t>N-19</t>
        </is>
      </c>
      <c r="B21" s="15" t="inlineStr">
        <is>
          <t>Spawn events</t>
        </is>
      </c>
      <c r="C21" s="15" t="inlineStr">
        <is>
          <t>Onslaught: random waves, surprise bosses, and no running away</t>
        </is>
      </c>
      <c r="D21" s="15" t="inlineStr">
        <is>
          <t>New — this did not exist on the server before.</t>
        </is>
      </c>
      <c r="E21" s="15" t="inlineStr">
        <is>
          <t>'Undead onslaught' rolls each wave at random from groups of undead, adds a random undead V Blood in the middle wave and one or two at the end. If nobody stays in its 40 m arena, after a set time the undead go after the nearest player anywhere on the map. Six other factions have one too (names ending in -onslaught).</t>
        </is>
      </c>
      <c r="F21" s="15" t="inlineStr">
        <is>
          <t>Type .nyar template use undead-onslaught. At an open spot near a graveyard type .nyar event set undead-onslaught location here.</t>
        </is>
      </c>
    </row>
    <row r="22" ht="21" customHeight="1">
      <c r="A22" s="14" t="inlineStr">
        <is>
          <t>Established feature — a fresh pair of eyes</t>
        </is>
      </c>
    </row>
    <row r="23" ht="64" customHeight="1">
      <c r="A23" s="15" t="inlineStr">
        <is>
          <t>E-01</t>
        </is>
      </c>
      <c r="B23" s="15" t="inlineStr">
        <is>
          <t>Spawn events</t>
        </is>
      </c>
      <c r="C23" s="15" t="inlineStr">
        <is>
          <t>Build your own event from chat, the way a new admin would</t>
        </is>
      </c>
      <c r="D23" s="15" t="inlineStr">
        <is>
          <t>Not new; never looked at by a person.</t>
        </is>
      </c>
      <c r="E23" s="15" t="inlineStr">
        <is>
          <t>Without the documentation, create a new spawn event from scratch with chat commands, set it up as you would for your own server, and run it.</t>
        </is>
      </c>
      <c r="F23" s="15" t="inlineStr">
        <is>
          <t>Type .nyar event new my-event spawns</t>
        </is>
      </c>
    </row>
    <row r="24" ht="64" customHeight="1">
      <c r="A24" s="15" t="inlineStr">
        <is>
          <t>E-02</t>
        </is>
      </c>
      <c r="B24" s="15" t="inlineStr">
        <is>
          <t>Two players</t>
        </is>
      </c>
      <c r="C24" s="15" t="inlineStr">
        <is>
          <t>A second player joins someone else's fight</t>
        </is>
      </c>
      <c r="D24" s="15" t="inlineStr">
        <is>
          <t>Not new; never looked at by a person.</t>
        </is>
      </c>
      <c r="E24" s="15" t="inlineStr">
        <is>
          <t>Take any event from the rows above that hunts one player (revenge, the border watch) and have a second player join in from the side.</t>
        </is>
      </c>
      <c r="F24" s="15" t="inlineStr">
        <is>
          <t>Player one triggers N-08 or N-13</t>
        </is>
      </c>
    </row>
    <row r="25" ht="21" customHeight="1">
      <c r="A25" s="14" t="inlineStr">
        <is>
          <t>Not an ordinary test row</t>
        </is>
      </c>
    </row>
    <row r="26" ht="79" customHeight="1">
      <c r="A26" s="15" t="inlineStr">
        <is>
          <t>C-01</t>
        </is>
      </c>
      <c r="B26" s="15" t="inlineStr">
        <is>
          <t>Server feel</t>
        </is>
      </c>
      <c r="C26" s="15" t="inlineStr">
        <is>
          <t>Measurement: how the server feels during the busiest event</t>
        </is>
      </c>
      <c r="D26" s="15" t="inlineStr">
        <is>
          <t>A measurement, not a change.</t>
        </is>
      </c>
      <c r="E26" s="15" t="inlineStr">
        <is>
          <t>Not a pass or fail row. During the apocalypse (N-14), note any lag, rubber-banding or slow abilities, and when it happened. One reading is a baseline, not a series.</t>
        </is>
      </c>
      <c r="F26" s="15" t="inlineStr">
        <is>
          <t>At the start, at each horde rise and at the end, note how responsive the game feels (fine, slight lag, bad lag) and the time.</t>
        </is>
      </c>
    </row>
  </sheetData>
  <mergeCells count="3">
    <mergeCell ref="A2:F2"/>
    <mergeCell ref="A22:F22"/>
    <mergeCell ref="A25:F25"/>
  </mergeCells>
  <pageMargins left="0.75" right="0.75" top="1" bottom="1" header="0.5" footer="0.5"/>
</worksheet>
</file>

<file path=xl/worksheets/sheet3.xml><?xml version="1.0" encoding="utf-8"?>
<worksheet xmlns="http://schemas.openxmlformats.org/spreadsheetml/2006/main">
  <sheetPr>
    <tabColor rgb="006B7280"/>
    <outlinePr summaryBelow="1" summaryRight="1"/>
    <pageSetUpPr/>
  </sheetPr>
  <dimension ref="A1:B17"/>
  <sheetViews>
    <sheetView workbookViewId="0">
      <selection activeCell="A1" sqref="A1"/>
    </sheetView>
  </sheetViews>
  <sheetFormatPr baseColWidth="8" defaultRowHeight="15"/>
  <cols>
    <col width="60" customWidth="1" min="1" max="1"/>
    <col width="70" customWidth="1" min="2" max="2"/>
  </cols>
  <sheetData>
    <row r="1" ht="32" customHeight="1">
      <c r="A1" s="13" t="inlineStr">
        <is>
          <t>What we did not change</t>
        </is>
      </c>
      <c r="B1" s="13" t="inlineStr">
        <is>
          <t>Why</t>
        </is>
      </c>
    </row>
    <row r="2" ht="34" customHeight="1">
      <c r="A2" s="15" t="inlineStr">
        <is>
          <t>Monsters spawned by an event do not scale to how many players are near or how strong they are.</t>
        </is>
      </c>
      <c r="B2" s="15" t="inlineStr">
        <is>
          <t>Scaling is the next piece of work after Halloween. For now the admin sets levels and counts in each event.</t>
        </is>
      </c>
    </row>
    <row r="3" ht="49" customHeight="1">
      <c r="A3" s="15" t="inlineStr">
        <is>
          <t>A monster that dies before it ever reaches a player is not replaced.</t>
        </is>
      </c>
      <c r="B3" s="15" t="inlineStr">
        <is>
          <t>Replacing them is planned after Halloween. Until then, killing monsters from far away or from a castle edge shortens an event; we leave that to players' honour.</t>
        </is>
      </c>
    </row>
    <row r="4" ht="34" customHeight="1">
      <c r="A4" s="15" t="inlineStr">
        <is>
          <t>Revenge heat (how angry a faction is with you) is forgotten when the server restarts.</t>
        </is>
      </c>
      <c r="B4" s="15" t="inlineStr">
        <is>
          <t>Deliberate: nothing about players is saved to disk.</t>
        </is>
      </c>
    </row>
    <row r="5" ht="49" customHeight="1">
      <c r="A5" s="15" t="inlineStr">
        <is>
          <t>Monsters far from every player can move in short hidden jumps rather than walking.</t>
        </is>
      </c>
      <c r="B5" s="15" t="inlineStr">
        <is>
          <t>Deliberate: walking across the map is unreliable in this game. A jump only happens while no player is within 100 m, so you should never see one. If you do, that is a finding.</t>
        </is>
      </c>
    </row>
    <row r="6" ht="34" customHeight="1">
      <c r="A6" s="15" t="inlineStr">
        <is>
          <t>A stuck monster is moved out of sight up to twice, then removed with no kill credit.</t>
        </is>
      </c>
      <c r="B6" s="15" t="inlineStr">
        <is>
          <t>Deliberate (the unit watch). A removed monster counts as cleared for its wave, so a wave cannot hang on one you cannot reach.</t>
        </is>
      </c>
    </row>
    <row r="7" ht="34" customHeight="1">
      <c r="A7" s="15" t="inlineStr">
        <is>
          <t>No event spawns monsters inside a claimed castle's territory, and none jump into one.</t>
        </is>
      </c>
      <c r="B7" s="15" t="inlineStr">
        <is>
          <t>Deliberate. A wave centred on a castle is skipped; players standing in their castle are never picked as targets.</t>
        </is>
      </c>
    </row>
    <row r="8" ht="34" customHeight="1">
      <c r="A8" s="15" t="inlineStr">
        <is>
          <t>After '.nyar purge confirm', events refuse to start for about 4 minutes.</t>
        </is>
      </c>
      <c r="B8" s="15" t="inlineStr">
        <is>
          <t>Deliberate cool-down after the emergency stop.</t>
        </is>
      </c>
    </row>
    <row r="9" ht="34" customHeight="1">
      <c r="A9" s="15" t="inlineStr">
        <is>
          <t>An ambush at a tight spot (cliffs, walls, water) can appear closer than 20-40 m.</t>
        </is>
      </c>
      <c r="B9" s="15" t="inlineStr">
        <is>
          <t>Known: when no walkable ground is found at that distance, the spawn moves closer. A wider search is planned.</t>
        </is>
      </c>
    </row>
    <row r="10" ht="34" customHeight="1">
      <c r="A10" s="15" t="inlineStr">
        <is>
          <t>Chat replies to admin commands are short and technical.</t>
        </is>
      </c>
      <c r="B10" s="15" t="inlineStr">
        <is>
          <t>They are meant for admins and a future in-game admin panel, not for players.</t>
        </is>
      </c>
    </row>
    <row r="11" ht="34" customHeight="1">
      <c r="A11" s="15" t="inlineStr">
        <is>
          <t>The zombie apocalypse runs for hours; this round shortens it to 2 hours.</t>
        </is>
      </c>
      <c r="B11" s="15" t="inlineStr">
        <is>
          <t>Its full length (4 hours by default) is an admin choice; 2 hours still brings all four hordes.</t>
        </is>
      </c>
    </row>
    <row r="12" ht="34" customHeight="1">
      <c r="A12" s="15" t="inlineStr">
        <is>
          <t>N-02 (Undead grow stronger at nightfall (a night-time event)): Empowerment only buffs; it spawns nothing.</t>
        </is>
      </c>
      <c r="B12" s="15" t="inlineStr">
        <is>
          <t>Deliberate.</t>
        </is>
      </c>
    </row>
    <row r="13" ht="49" customHeight="1">
      <c r="A13" s="15" t="inlineStr">
        <is>
          <t>N-06 (Graveyard waves: three waves, a guardian and a scoreboard): Admins are left off the scoreboard unless the server turns that on.</t>
        </is>
      </c>
      <c r="B13" s="15" t="inlineStr">
        <is>
          <t>Deliberate.</t>
        </is>
      </c>
    </row>
    <row r="14" ht="49" customHeight="1">
      <c r="A14" s="15" t="inlineStr">
        <is>
          <t>N-11 (Spider hunting grounds: spiders roam a whole region and hunt whoever is inside): Far from players the spiders close in by hidden jumps; never within 100 m of a player.</t>
        </is>
      </c>
      <c r="B14" s="15" t="inlineStr">
        <is>
          <t>Deliberate.</t>
        </is>
      </c>
    </row>
    <row r="15" ht="49" customHeight="1">
      <c r="A15" s="15" t="inlineStr">
        <is>
          <t>N-14 (Zombie apocalypse: a two-hour outbreak the server has to survive): Hordes count as one group: a straggler left far from everyone keeps its horde alive until found.</t>
        </is>
      </c>
      <c r="B15" s="15" t="inlineStr">
        <is>
          <t>Known; not this round's work.</t>
        </is>
      </c>
    </row>
    <row r="16" ht="49" customHeight="1">
      <c r="A16" s="15" t="inlineStr">
        <is>
          <t>N-15 (A monster that cannot reach you is moved, and a wave never hangs): A spider that still cannot reach anyone after two moves is removed with no kill credit.</t>
        </is>
      </c>
      <c r="B16" s="15" t="inlineStr">
        <is>
          <t>Deliberate.</t>
        </is>
      </c>
    </row>
    <row r="17" ht="49" customHeight="1">
      <c r="A17" s="15" t="inlineStr">
        <is>
          <t>C-01 (Measurement: how the server feels during the busiest event): This row is not pass or fail; 'did not notice anything' is an accepted answer.</t>
        </is>
      </c>
      <c r="B17" s="15" t="inlineStr">
        <is>
          <t>Deliberate.</t>
        </is>
      </c>
    </row>
  </sheetData>
  <pageMargins left="0.75" right="0.75" top="1" bottom="1" header="0.5" footer="0.5"/>
</worksheet>
</file>

<file path=xl/worksheets/sheet4.xml><?xml version="1.0" encoding="utf-8"?>
<worksheet xmlns="http://schemas.openxmlformats.org/spreadsheetml/2006/main">
  <sheetPr>
    <tabColor rgb="001D4ED8"/>
    <outlinePr summaryBelow="1" summaryRight="1"/>
    <pageSetUpPr/>
  </sheetPr>
  <dimension ref="A1:P2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22" customWidth="1" min="2" max="2"/>
    <col width="16" customWidth="1" min="3" max="3"/>
    <col width="42" customWidth="1" min="4" max="4"/>
    <col width="34" customWidth="1" min="5" max="5"/>
    <col width="7" customWidth="1" min="6" max="6"/>
    <col width="34" customWidth="1" min="7" max="7"/>
    <col width="16" customWidth="1" min="8" max="8"/>
    <col width="14" customWidth="1" min="9" max="9"/>
    <col width="34" customWidth="1" min="10" max="10"/>
    <col width="16" customWidth="1" min="11" max="11"/>
    <col width="18" customWidth="1" min="12" max="12"/>
    <col width="34" customWidth="1" min="13" max="13"/>
    <col width="34" customWidth="1" min="14" max="14"/>
    <col width="20" customWidth="1" min="15" max="15"/>
    <col width="28" customWidth="1" min="16" max="16"/>
  </cols>
  <sheetData>
    <row r="1" ht="32" customHeight="1">
      <c r="A1" s="13" t="inlineStr">
        <is>
          <t>Row id</t>
        </is>
      </c>
      <c r="B1" s="13" t="inlineStr">
        <is>
          <t>Kind of row</t>
        </is>
      </c>
      <c r="C1" s="13" t="inlineStr">
        <is>
          <t>Area</t>
        </is>
      </c>
      <c r="D1" s="13" t="inlineStr">
        <is>
          <t>What to test</t>
        </is>
      </c>
      <c r="E1" s="13" t="inlineStr">
        <is>
          <t>You will need</t>
        </is>
      </c>
      <c r="F1" s="13" t="inlineStr">
        <is>
          <t>Steps</t>
        </is>
      </c>
      <c r="G1" s="13" t="inlineStr">
        <is>
          <t>We most want to know</t>
        </is>
      </c>
      <c r="H1" s="16" t="inlineStr">
        <is>
          <t>Assigned to</t>
        </is>
      </c>
      <c r="I1" s="16" t="inlineStr">
        <is>
          <t>Result</t>
        </is>
      </c>
      <c r="J1" s="16" t="inlineStr">
        <is>
          <t>If not a clean pass — what is still wrong</t>
        </is>
      </c>
      <c r="K1" s="16" t="inlineStr">
        <is>
          <t>Tested at</t>
        </is>
      </c>
      <c r="L1" s="16" t="inlineStr">
        <is>
          <t>PC + connection</t>
        </is>
      </c>
      <c r="M1" s="16" t="inlineStr">
        <is>
          <t>What you saw</t>
        </is>
      </c>
      <c r="N1" s="16" t="inlineStr">
        <is>
          <t>What you expected</t>
        </is>
      </c>
      <c r="O1" s="16" t="inlineStr">
        <is>
          <t>How it felt</t>
        </is>
      </c>
      <c r="P1" s="16" t="inlineStr">
        <is>
          <t>Evidence (screenshot name or chat line)</t>
        </is>
      </c>
    </row>
    <row r="2" ht="49" customHeight="1">
      <c r="A2" s="15" t="inlineStr">
        <is>
          <t>N-01</t>
        </is>
      </c>
      <c r="B2" s="15" t="inlineStr">
        <is>
          <t>New</t>
        </is>
      </c>
      <c r="C2" s="15" t="inlineStr">
        <is>
          <t>Getting set up</t>
        </is>
      </c>
      <c r="D2" s="15" t="inlineStr">
        <is>
          <t>First look: the command list and the status line</t>
        </is>
      </c>
      <c r="E2" s="15" t="inlineStr">
        <is>
          <t>Admin rights on the dev server.</t>
        </is>
      </c>
      <c r="F2" s="15" t="n">
        <v>4</v>
      </c>
      <c r="G2" s="15" t="inlineStr">
        <is>
          <t>Would an admin new to the mod know where to start from these replies?</t>
        </is>
      </c>
      <c r="H2" s="17" t="inlineStr">
        <is>
          <t>Not assigned yet</t>
        </is>
      </c>
      <c r="I2" s="17" t="inlineStr">
        <is>
          <t>Not tested yet</t>
        </is>
      </c>
      <c r="J2" s="17" t="n"/>
      <c r="K2" s="17" t="n"/>
      <c r="L2" s="17" t="n"/>
      <c r="M2" s="17" t="n"/>
      <c r="N2" s="17" t="n"/>
      <c r="O2" s="17" t="n"/>
      <c r="P2" s="17" t="n"/>
    </row>
    <row r="3" ht="64" customHeight="1">
      <c r="A3" s="15" t="inlineStr">
        <is>
          <t>N-02</t>
        </is>
      </c>
      <c r="B3" s="15" t="inlineStr">
        <is>
          <t>New</t>
        </is>
      </c>
      <c r="C3" s="15" t="inlineStr">
        <is>
          <t>Faction empowerment</t>
        </is>
      </c>
      <c r="D3" s="15" t="inlineStr">
        <is>
          <t>Undead grow stronger at nightfall (a night-time event)</t>
        </is>
      </c>
      <c r="E3" s="15" t="inlineStr">
        <is>
          <t>Admin rights; about 30 minutes that include an in-game nightfall; an undead area such as a Farbane graveyard.</t>
        </is>
      </c>
      <c r="F3" s="15" t="n">
        <v>5</v>
      </c>
      <c r="G3" s="15" t="inlineStr">
        <is>
          <t>Could you feel the difference in the undead during the event without being told?</t>
        </is>
      </c>
      <c r="H3" s="17" t="inlineStr">
        <is>
          <t>Not assigned yet</t>
        </is>
      </c>
      <c r="I3" s="17" t="inlineStr">
        <is>
          <t>Not tested yet</t>
        </is>
      </c>
      <c r="J3" s="17" t="n"/>
      <c r="K3" s="17" t="n"/>
      <c r="L3" s="17" t="n"/>
      <c r="M3" s="17" t="n"/>
      <c r="N3" s="17" t="n"/>
      <c r="O3" s="17" t="n"/>
      <c r="P3" s="17" t="n"/>
    </row>
    <row r="4" ht="64" customHeight="1">
      <c r="A4" s="15" t="inlineStr">
        <is>
          <t>N-03</t>
        </is>
      </c>
      <c r="B4" s="15" t="inlineStr">
        <is>
          <t>New</t>
        </is>
      </c>
      <c r="C4" s="15" t="inlineStr">
        <is>
          <t>Faction empowerment</t>
        </is>
      </c>
      <c r="D4" s="15" t="inlineStr">
        <is>
          <t>A weekly surge on a schedule (day and time)</t>
        </is>
      </c>
      <c r="E4" s="15" t="inlineStr">
        <is>
          <t>Admin rights; the server's local time (ask the owner); a Legion area (Gloomrot or the Dunley outskirts).</t>
        </is>
      </c>
      <c r="F4" s="15" t="n">
        <v>5</v>
      </c>
      <c r="G4" s="15" t="inlineStr">
        <is>
          <t>Did it start at the time you set, on the server's clock?</t>
        </is>
      </c>
      <c r="H4" s="17" t="inlineStr">
        <is>
          <t>Not assigned yet</t>
        </is>
      </c>
      <c r="I4" s="17" t="inlineStr">
        <is>
          <t>Not tested yet</t>
        </is>
      </c>
      <c r="J4" s="17" t="n"/>
      <c r="K4" s="17" t="n"/>
      <c r="L4" s="17" t="n"/>
      <c r="M4" s="17" t="n"/>
      <c r="N4" s="17" t="n"/>
      <c r="O4" s="17" t="n"/>
      <c r="P4" s="17" t="n"/>
    </row>
    <row r="5" ht="79" customHeight="1">
      <c r="A5" s="15" t="inlineStr">
        <is>
          <t>N-04</t>
        </is>
      </c>
      <c r="B5" s="15" t="inlineStr">
        <is>
          <t>New</t>
        </is>
      </c>
      <c r="C5" s="15" t="inlineStr">
        <is>
          <t>Faction empowerment</t>
        </is>
      </c>
      <c r="D5" s="15" t="inlineStr">
        <is>
          <t>Bandits take revenge for a fallen V Blood leader</t>
        </is>
      </c>
      <c r="E5" s="15" t="inlineStr">
        <is>
          <t>Admin rights to set it up; a character able to kill a bandit V Blood (Rufus the Foreman, Errol the Stonebreaker or Quincey the Bandit King).</t>
        </is>
      </c>
      <c r="F5" s="15" t="n">
        <v>4</v>
      </c>
      <c r="G5" s="15" t="inlineStr">
        <is>
          <t>Did the vengeance feel like a consequence of the kill, or like an unrelated buff?</t>
        </is>
      </c>
      <c r="H5" s="17" t="inlineStr">
        <is>
          <t>Not assigned yet</t>
        </is>
      </c>
      <c r="I5" s="17" t="inlineStr">
        <is>
          <t>Not tested yet</t>
        </is>
      </c>
      <c r="J5" s="17" t="n"/>
      <c r="K5" s="17" t="n"/>
      <c r="L5" s="17" t="n"/>
      <c r="M5" s="17" t="n"/>
      <c r="N5" s="17" t="n"/>
      <c r="O5" s="17" t="n"/>
      <c r="P5" s="17" t="n"/>
    </row>
    <row r="6" ht="64" customHeight="1">
      <c r="A6" s="15" t="inlineStr">
        <is>
          <t>N-05</t>
        </is>
      </c>
      <c r="B6" s="15" t="inlineStr">
        <is>
          <t>New</t>
        </is>
      </c>
      <c r="C6" s="15" t="inlineStr">
        <is>
          <t>Spawn events</t>
        </is>
      </c>
      <c r="D6" s="15" t="inlineStr">
        <is>
          <t>An ambush waiting at a spot you choose</t>
        </is>
      </c>
      <c r="E6" s="15" t="inlineStr">
        <is>
          <t>Admin rights; one or two players with gear level 25 or more; a road or clearing away from any castle.</t>
        </is>
      </c>
      <c r="F6" s="15" t="n">
        <v>5</v>
      </c>
      <c r="G6" s="15" t="inlineStr">
        <is>
          <t>Were the bandits at the saved spot, on walkable ground, and at the level you set?</t>
        </is>
      </c>
      <c r="H6" s="17" t="inlineStr">
        <is>
          <t>Not assigned yet</t>
        </is>
      </c>
      <c r="I6" s="17" t="inlineStr">
        <is>
          <t>Not tested yet</t>
        </is>
      </c>
      <c r="J6" s="17" t="n"/>
      <c r="K6" s="17" t="n"/>
      <c r="L6" s="17" t="n"/>
      <c r="M6" s="17" t="n"/>
      <c r="N6" s="17" t="n"/>
      <c r="O6" s="17" t="n"/>
      <c r="P6" s="17" t="n"/>
    </row>
    <row r="7" ht="49" customHeight="1">
      <c r="A7" s="15" t="inlineStr">
        <is>
          <t>N-06</t>
        </is>
      </c>
      <c r="B7" s="15" t="inlineStr">
        <is>
          <t>New</t>
        </is>
      </c>
      <c r="C7" s="15" t="inlineStr">
        <is>
          <t>Spawn events</t>
        </is>
      </c>
      <c r="D7" s="15" t="inlineStr">
        <is>
          <t>Graveyard waves: three waves, a guardian and a scoreboard</t>
        </is>
      </c>
      <c r="E7" s="15" t="inlineStr">
        <is>
          <t>Admin rights; two players (gear level 25 or more) is best, one works.</t>
        </is>
      </c>
      <c r="F7" s="15" t="n">
        <v>5</v>
      </c>
      <c r="G7" s="15" t="inlineStr">
        <is>
          <t>Was the scoreboard right about who killed what?</t>
        </is>
      </c>
      <c r="H7" s="17" t="inlineStr">
        <is>
          <t>Not assigned yet</t>
        </is>
      </c>
      <c r="I7" s="17" t="inlineStr">
        <is>
          <t>Not tested yet</t>
        </is>
      </c>
      <c r="J7" s="17" t="n"/>
      <c r="K7" s="17" t="n"/>
      <c r="L7" s="17" t="n"/>
      <c r="M7" s="17" t="n"/>
      <c r="N7" s="17" t="n"/>
      <c r="O7" s="17" t="n"/>
      <c r="P7" s="17" t="n"/>
    </row>
    <row r="8" ht="49" customHeight="1">
      <c r="A8" s="15" t="inlineStr">
        <is>
          <t>N-07</t>
        </is>
      </c>
      <c r="B8" s="15" t="inlineStr">
        <is>
          <t>New</t>
        </is>
      </c>
      <c r="C8" s="15" t="inlineStr">
        <is>
          <t>Spawn events</t>
        </is>
      </c>
      <c r="D8" s="15" t="inlineStr">
        <is>
          <t>Hunters that roam on their own (a random interval) and split up between players</t>
        </is>
      </c>
      <c r="E8" s="15" t="inlineStr">
        <is>
          <t>Admin rights; two players at least 150 m apart (three is better).</t>
        </is>
      </c>
      <c r="F8" s="15" t="n">
        <v>4</v>
      </c>
      <c r="G8" s="15" t="inlineStr">
        <is>
          <t>Did each of you get your own squad, and did the one in a castle get none?</t>
        </is>
      </c>
      <c r="H8" s="17" t="inlineStr">
        <is>
          <t>Not assigned yet</t>
        </is>
      </c>
      <c r="I8" s="17" t="inlineStr">
        <is>
          <t>Not tested yet</t>
        </is>
      </c>
      <c r="J8" s="17" t="n"/>
      <c r="K8" s="17" t="n"/>
      <c r="L8" s="17" t="n"/>
      <c r="M8" s="17" t="n"/>
      <c r="N8" s="17" t="n"/>
      <c r="O8" s="17" t="n"/>
      <c r="P8" s="17" t="n"/>
    </row>
    <row r="9" ht="64" customHeight="1">
      <c r="A9" s="15" t="inlineStr">
        <is>
          <t>N-08</t>
        </is>
      </c>
      <c r="B9" s="15" t="inlineStr">
        <is>
          <t>New</t>
        </is>
      </c>
      <c r="C9" s="15" t="inlineStr">
        <is>
          <t>Spawn events</t>
        </is>
      </c>
      <c r="D9" s="15" t="inlineStr">
        <is>
          <t>The border watch rides out when you enter Dunley Farmlands</t>
        </is>
      </c>
      <c r="E9" s="15" t="inlineStr">
        <is>
          <t>Admin rights; a character that can survive militia; start outside Dunley Farmlands (e.g. in Farbane Woods near the border).</t>
        </is>
      </c>
      <c r="F9" s="15" t="n">
        <v>4</v>
      </c>
      <c r="G9" s="15" t="inlineStr">
        <is>
          <t>Did the patrol feel like a reaction to crossing the border?</t>
        </is>
      </c>
      <c r="H9" s="17" t="inlineStr">
        <is>
          <t>Not assigned yet</t>
        </is>
      </c>
      <c r="I9" s="17" t="inlineStr">
        <is>
          <t>Not tested yet</t>
        </is>
      </c>
      <c r="J9" s="17" t="n"/>
      <c r="K9" s="17" t="n"/>
      <c r="L9" s="17" t="n"/>
      <c r="M9" s="17" t="n"/>
      <c r="N9" s="17" t="n"/>
      <c r="O9" s="17" t="n"/>
      <c r="P9" s="17" t="n"/>
    </row>
    <row r="10" ht="34" customHeight="1">
      <c r="A10" s="15" t="inlineStr">
        <is>
          <t>N-09</t>
        </is>
      </c>
      <c r="B10" s="15" t="inlineStr">
        <is>
          <t>New</t>
        </is>
      </c>
      <c r="C10" s="15" t="inlineStr">
        <is>
          <t>Spawn events</t>
        </is>
      </c>
      <c r="D10" s="15" t="inlineStr">
        <is>
          <t>Bandit reprisal after a killing spree</t>
        </is>
      </c>
      <c r="E10" s="15" t="inlineStr">
        <is>
          <t>Admin rights; a bandit camp with at least 10 bandits.</t>
        </is>
      </c>
      <c r="F10" s="15" t="n">
        <v>4</v>
      </c>
      <c r="G10" s="15" t="inlineStr">
        <is>
          <t>Did the squad come for the right player?</t>
        </is>
      </c>
      <c r="H10" s="17" t="inlineStr">
        <is>
          <t>Not assigned yet</t>
        </is>
      </c>
      <c r="I10" s="17" t="inlineStr">
        <is>
          <t>Not tested yet</t>
        </is>
      </c>
      <c r="J10" s="17" t="n"/>
      <c r="K10" s="17" t="n"/>
      <c r="L10" s="17" t="n"/>
      <c r="M10" s="17" t="n"/>
      <c r="N10" s="17" t="n"/>
      <c r="O10" s="17" t="n"/>
      <c r="P10" s="17" t="n"/>
    </row>
    <row r="11" ht="79" customHeight="1">
      <c r="A11" s="15" t="inlineStr">
        <is>
          <t>N-10</t>
        </is>
      </c>
      <c r="B11" s="15" t="inlineStr">
        <is>
          <t>New</t>
        </is>
      </c>
      <c r="C11" s="15" t="inlineStr">
        <is>
          <t>Swarm</t>
        </is>
      </c>
      <c r="D11" s="15" t="inlineStr">
        <is>
          <t>A scheduled arena night: the spider swarm at a set place and time</t>
        </is>
      </c>
      <c r="E11" s="15" t="inlineStr">
        <is>
          <t>Admin rights; the server's local time; two players with gear level 35 or more (the Queen is level 45); open ground away from castles.</t>
        </is>
      </c>
      <c r="F11" s="15" t="n">
        <v>5</v>
      </c>
      <c r="G11" s="15" t="inlineStr">
        <is>
          <t>Could you run a real arena night this way, and did the arena edge feel fair?</t>
        </is>
      </c>
      <c r="H11" s="17" t="inlineStr">
        <is>
          <t>Not assigned yet</t>
        </is>
      </c>
      <c r="I11" s="17" t="inlineStr">
        <is>
          <t>Not tested yet</t>
        </is>
      </c>
      <c r="J11" s="17" t="n"/>
      <c r="K11" s="17" t="n"/>
      <c r="L11" s="17" t="n"/>
      <c r="M11" s="17" t="n"/>
      <c r="N11" s="17" t="n"/>
      <c r="O11" s="17" t="n"/>
      <c r="P11" s="17" t="n"/>
    </row>
    <row r="12" ht="49" customHeight="1">
      <c r="A12" s="15" t="inlineStr">
        <is>
          <t>N-11</t>
        </is>
      </c>
      <c r="B12" s="15" t="inlineStr">
        <is>
          <t>New</t>
        </is>
      </c>
      <c r="C12" s="15" t="inlineStr">
        <is>
          <t>Hunting grounds</t>
        </is>
      </c>
      <c r="D12" s="15" t="inlineStr">
        <is>
          <t>Spider hunting grounds: spiders roam a whole region and hunt whoever is inside</t>
        </is>
      </c>
      <c r="E12" s="15" t="inlineStr">
        <is>
          <t>Admin rights; two players, one inside Dunley Farmlands and one just outside it.</t>
        </is>
      </c>
      <c r="F12" s="15" t="n">
        <v>5</v>
      </c>
      <c r="G12" s="15" t="inlineStr">
        <is>
          <t>Did you ever see a spider pop in or jump while you were watching?</t>
        </is>
      </c>
      <c r="H12" s="17" t="inlineStr">
        <is>
          <t>Not assigned yet</t>
        </is>
      </c>
      <c r="I12" s="17" t="inlineStr">
        <is>
          <t>Not tested yet</t>
        </is>
      </c>
      <c r="J12" s="17" t="n"/>
      <c r="K12" s="17" t="n"/>
      <c r="L12" s="17" t="n"/>
      <c r="M12" s="17" t="n"/>
      <c r="N12" s="17" t="n"/>
      <c r="O12" s="17" t="n"/>
      <c r="P12" s="17" t="n"/>
    </row>
    <row r="13" ht="49" customHeight="1">
      <c r="A13" s="15" t="inlineStr">
        <is>
          <t>N-12</t>
        </is>
      </c>
      <c r="B13" s="15" t="inlineStr">
        <is>
          <t>New</t>
        </is>
      </c>
      <c r="C13" s="15" t="inlineStr">
        <is>
          <t>Hunting grounds</t>
        </is>
      </c>
      <c r="D13" s="15" t="inlineStr">
        <is>
          <t>A regional ambush: only players inside the region are picked</t>
        </is>
      </c>
      <c r="E13" s="15" t="inlineStr">
        <is>
          <t>Admin rights; two players, one in Farbane Woods and one in another region.</t>
        </is>
      </c>
      <c r="F13" s="15" t="n">
        <v>4</v>
      </c>
      <c r="G13" s="15" t="inlineStr">
        <is>
          <t>Were the chat commands clear enough to set this up without the documentation?</t>
        </is>
      </c>
      <c r="H13" s="17" t="inlineStr">
        <is>
          <t>Not assigned yet</t>
        </is>
      </c>
      <c r="I13" s="17" t="inlineStr">
        <is>
          <t>Not tested yet</t>
        </is>
      </c>
      <c r="J13" s="17" t="n"/>
      <c r="K13" s="17" t="n"/>
      <c r="L13" s="17" t="n"/>
      <c r="M13" s="17" t="n"/>
      <c r="N13" s="17" t="n"/>
      <c r="O13" s="17" t="n"/>
      <c r="P13" s="17" t="n"/>
    </row>
    <row r="14" ht="49" customHeight="1">
      <c r="A14" s="15" t="inlineStr">
        <is>
          <t>N-13</t>
        </is>
      </c>
      <c r="B14" s="15" t="inlineStr">
        <is>
          <t>New</t>
        </is>
      </c>
      <c r="C14" s="15" t="inlineStr">
        <is>
          <t>Revenge</t>
        </is>
      </c>
      <c r="D14" s="15" t="inlineStr">
        <is>
          <t>Bandit revenge: warnings, then a private hunt</t>
        </is>
      </c>
      <c r="E14" s="15" t="inlineStr">
        <is>
          <t>Admin rights; a bandit camp; ideally a second player nearby who is not the target.</t>
        </is>
      </c>
      <c r="F14" s="15" t="n">
        <v>6</v>
      </c>
      <c r="G14" s="15" t="inlineStr">
        <is>
          <t>Did the warnings give you a fair chance to stop before the revenge started?</t>
        </is>
      </c>
      <c r="H14" s="17" t="inlineStr">
        <is>
          <t>Not assigned yet</t>
        </is>
      </c>
      <c r="I14" s="17" t="inlineStr">
        <is>
          <t>Not tested yet</t>
        </is>
      </c>
      <c r="J14" s="17" t="n"/>
      <c r="K14" s="17" t="n"/>
      <c r="L14" s="17" t="n"/>
      <c r="M14" s="17" t="n"/>
      <c r="N14" s="17" t="n"/>
      <c r="O14" s="17" t="n"/>
      <c r="P14" s="17" t="n"/>
    </row>
    <row r="15" ht="79" customHeight="1">
      <c r="A15" s="15" t="inlineStr">
        <is>
          <t>N-14</t>
        </is>
      </c>
      <c r="B15" s="15" t="inlineStr">
        <is>
          <t>New</t>
        </is>
      </c>
      <c r="C15" s="15" t="inlineStr">
        <is>
          <t>Apocalypse</t>
        </is>
      </c>
      <c r="D15" s="15" t="inlineStr">
        <is>
          <t>Zombie apocalypse: a two-hour outbreak the server has to survive</t>
        </is>
      </c>
      <c r="E15" s="15" t="inlineStr">
        <is>
          <t>Admin rights; two hours; as many players as you can gather, gear level 30 or more; a place to defend outside any castle (a crossroads, a ruin).</t>
        </is>
      </c>
      <c r="F15" s="15" t="n">
        <v>6</v>
      </c>
      <c r="G15" s="15" t="inlineStr">
        <is>
          <t>Did the outbreak feel like a server-wide event worth gathering for?</t>
        </is>
      </c>
      <c r="H15" s="17" t="inlineStr">
        <is>
          <t>Not assigned yet</t>
        </is>
      </c>
      <c r="I15" s="17" t="inlineStr">
        <is>
          <t>Not tested yet</t>
        </is>
      </c>
      <c r="J15" s="17" t="n"/>
      <c r="K15" s="17" t="n"/>
      <c r="L15" s="17" t="n"/>
      <c r="M15" s="17" t="n"/>
      <c r="N15" s="17" t="n"/>
      <c r="O15" s="17" t="n"/>
      <c r="P15" s="17" t="n"/>
    </row>
    <row r="16" ht="49" customHeight="1">
      <c r="A16" s="15" t="inlineStr">
        <is>
          <t>N-15</t>
        </is>
      </c>
      <c r="B16" s="15" t="inlineStr">
        <is>
          <t>New</t>
        </is>
      </c>
      <c r="C16" s="15" t="inlineStr">
        <is>
          <t>Unit watch</t>
        </is>
      </c>
      <c r="D16" s="15" t="inlineStr">
        <is>
          <t>A monster that cannot reach you is moved, and a wave never hangs</t>
        </is>
      </c>
      <c r="E16" s="15" t="inlineStr">
        <is>
          <t>Admin rights; a tall rock or ledge a spider cannot climb, or a small island across deep water.</t>
        </is>
      </c>
      <c r="F16" s="15" t="n">
        <v>5</v>
      </c>
      <c r="G16" s="15" t="inlineStr">
        <is>
          <t>Did anything vanish or appear while you were looking at it?</t>
        </is>
      </c>
      <c r="H16" s="17" t="inlineStr">
        <is>
          <t>Not assigned yet</t>
        </is>
      </c>
      <c r="I16" s="17" t="inlineStr">
        <is>
          <t>Not tested yet</t>
        </is>
      </c>
      <c r="J16" s="17" t="n"/>
      <c r="K16" s="17" t="n"/>
      <c r="L16" s="17" t="n"/>
      <c r="M16" s="17" t="n"/>
      <c r="N16" s="17" t="n"/>
      <c r="O16" s="17" t="n"/>
      <c r="P16" s="17" t="n"/>
    </row>
    <row r="17" ht="49" customHeight="1">
      <c r="A17" s="15" t="inlineStr">
        <is>
          <t>N-16</t>
        </is>
      </c>
      <c r="B17" s="15" t="inlineStr">
        <is>
          <t>New</t>
        </is>
      </c>
      <c r="C17" s="15" t="inlineStr">
        <is>
          <t>Castles</t>
        </is>
      </c>
      <c r="D17" s="15" t="inlineStr">
        <is>
          <t>Castles stay safe: no spawns or jumps inside claimed territory</t>
        </is>
      </c>
      <c r="E17" s="15" t="inlineStr">
        <is>
          <t>Admin rights; a claimed castle; a second player outside it is best.</t>
        </is>
      </c>
      <c r="F17" s="15" t="n">
        <v>3</v>
      </c>
      <c r="G17" s="15" t="inlineStr">
        <is>
          <t>Did any monster ever end up inside castle territory?</t>
        </is>
      </c>
      <c r="H17" s="17" t="inlineStr">
        <is>
          <t>Not assigned yet</t>
        </is>
      </c>
      <c r="I17" s="17" t="inlineStr">
        <is>
          <t>Not tested yet</t>
        </is>
      </c>
      <c r="J17" s="17" t="n"/>
      <c r="K17" s="17" t="n"/>
      <c r="L17" s="17" t="n"/>
      <c r="M17" s="17" t="n"/>
      <c r="N17" s="17" t="n"/>
      <c r="O17" s="17" t="n"/>
      <c r="P17" s="17" t="n"/>
    </row>
    <row r="18" ht="34" customHeight="1">
      <c r="A18" s="15" t="inlineStr">
        <is>
          <t>N-17</t>
        </is>
      </c>
      <c r="B18" s="15" t="inlineStr">
        <is>
          <t>New</t>
        </is>
      </c>
      <c r="C18" s="15" t="inlineStr">
        <is>
          <t>Admin safety</t>
        </is>
      </c>
      <c r="D18" s="15" t="inlineStr">
        <is>
          <t>Stopping things: event stop, switching a kind off, and the emergency stop</t>
        </is>
      </c>
      <c r="E18" s="15" t="inlineStr">
        <is>
          <t>Admin rights; two events from earlier rows.</t>
        </is>
      </c>
      <c r="F18" s="15" t="n">
        <v>4</v>
      </c>
      <c r="G18" s="15" t="inlineStr">
        <is>
          <t>Was anything left behind after any of the three?</t>
        </is>
      </c>
      <c r="H18" s="17" t="inlineStr">
        <is>
          <t>Not assigned yet</t>
        </is>
      </c>
      <c r="I18" s="17" t="inlineStr">
        <is>
          <t>Not tested yet</t>
        </is>
      </c>
      <c r="J18" s="17" t="n"/>
      <c r="K18" s="17" t="n"/>
      <c r="L18" s="17" t="n"/>
      <c r="M18" s="17" t="n"/>
      <c r="N18" s="17" t="n"/>
      <c r="O18" s="17" t="n"/>
      <c r="P18" s="17" t="n"/>
    </row>
    <row r="19" ht="94" customHeight="1">
      <c r="A19" s="15" t="inlineStr">
        <is>
          <t>N-18</t>
        </is>
      </c>
      <c r="B19" s="15" t="inlineStr">
        <is>
          <t>New</t>
        </is>
      </c>
      <c r="C19" s="15" t="inlineStr">
        <is>
          <t>Spawn events</t>
        </is>
      </c>
      <c r="D19" s="15" t="inlineStr">
        <is>
          <t>Timed waves at a muster point: the next wave comes whether you are ready or not</t>
        </is>
      </c>
      <c r="E19" s="15" t="inlineStr">
        <is>
          <t>Admin rights; the Spawns kind on (.nyar pillar spawns on); two players with gear level 50 or more (the militia leader is level 58); open ground in Dunley Farmlands.</t>
        </is>
      </c>
      <c r="F19" s="15" t="n">
        <v>5</v>
      </c>
      <c r="G19" s="15" t="inlineStr">
        <is>
          <t>Did the pressure of the clock feel exciting or simply unfair?</t>
        </is>
      </c>
      <c r="H19" s="17" t="inlineStr">
        <is>
          <t>Not assigned yet</t>
        </is>
      </c>
      <c r="I19" s="17" t="inlineStr">
        <is>
          <t>Not tested yet</t>
        </is>
      </c>
      <c r="J19" s="17" t="n"/>
      <c r="K19" s="17" t="n"/>
      <c r="L19" s="17" t="n"/>
      <c r="M19" s="17" t="n"/>
      <c r="N19" s="17" t="n"/>
      <c r="O19" s="17" t="n"/>
      <c r="P19" s="17" t="n"/>
    </row>
    <row r="20" ht="94" customHeight="1">
      <c r="A20" s="15" t="inlineStr">
        <is>
          <t>N-19</t>
        </is>
      </c>
      <c r="B20" s="15" t="inlineStr">
        <is>
          <t>New</t>
        </is>
      </c>
      <c r="C20" s="15" t="inlineStr">
        <is>
          <t>Spawn events</t>
        </is>
      </c>
      <c r="D20" s="15" t="inlineStr">
        <is>
          <t>Onslaught: random waves, surprise bosses, and no running away</t>
        </is>
      </c>
      <c r="E20" s="15" t="inlineStr">
        <is>
          <t>Admin rights; the Spawns kind on; two players with gear level 60 or more (the undead V Bloods run from level 27 to 63, up to two at once); a castle within reach.</t>
        </is>
      </c>
      <c r="F20" s="15" t="n">
        <v>5</v>
      </c>
      <c r="G20" s="15" t="inlineStr">
        <is>
          <t>Did the chase feel like a threat, and did anything visibly teleport while you watched?</t>
        </is>
      </c>
      <c r="H20" s="17" t="inlineStr">
        <is>
          <t>Not assigned yet</t>
        </is>
      </c>
      <c r="I20" s="17" t="inlineStr">
        <is>
          <t>Not tested yet</t>
        </is>
      </c>
      <c r="J20" s="17" t="n"/>
      <c r="K20" s="17" t="n"/>
      <c r="L20" s="17" t="n"/>
      <c r="M20" s="17" t="n"/>
      <c r="N20" s="17" t="n"/>
      <c r="O20" s="17" t="n"/>
      <c r="P20" s="17" t="n"/>
    </row>
    <row r="21" ht="34" customHeight="1">
      <c r="A21" s="15" t="inlineStr">
        <is>
          <t>E-01</t>
        </is>
      </c>
      <c r="B21" s="15" t="inlineStr">
        <is>
          <t>Established feature — a fresh pair of eyes</t>
        </is>
      </c>
      <c r="C21" s="15" t="inlineStr">
        <is>
          <t>Spawn events</t>
        </is>
      </c>
      <c r="D21" s="15" t="inlineStr">
        <is>
          <t>Build your own event from chat, the way a new admin would</t>
        </is>
      </c>
      <c r="E21" s="15" t="inlineStr">
        <is>
          <t>Admin rights; 20 minutes.</t>
        </is>
      </c>
      <c r="F21" s="15" t="n">
        <v>4</v>
      </c>
      <c r="G21" s="15" t="inlineStr">
        <is>
          <t>Which reply or field name stopped you?</t>
        </is>
      </c>
      <c r="H21" s="17" t="inlineStr">
        <is>
          <t>Not assigned yet</t>
        </is>
      </c>
      <c r="I21" s="17" t="inlineStr">
        <is>
          <t>Not tested yet</t>
        </is>
      </c>
      <c r="J21" s="17" t="n"/>
      <c r="K21" s="17" t="n"/>
      <c r="L21" s="17" t="n"/>
      <c r="M21" s="17" t="n"/>
      <c r="N21" s="17" t="n"/>
      <c r="O21" s="17" t="n"/>
      <c r="P21" s="17" t="n"/>
    </row>
    <row r="22" ht="34" customHeight="1">
      <c r="A22" s="15" t="inlineStr">
        <is>
          <t>E-02</t>
        </is>
      </c>
      <c r="B22" s="15" t="inlineStr">
        <is>
          <t>Established feature — a fresh pair of eyes</t>
        </is>
      </c>
      <c r="C22" s="15" t="inlineStr">
        <is>
          <t>Two players</t>
        </is>
      </c>
      <c r="D22" s="15" t="inlineStr">
        <is>
          <t>A second player joins someone else's fight</t>
        </is>
      </c>
      <c r="E22" s="15" t="inlineStr">
        <is>
          <t>Two players at the same time.</t>
        </is>
      </c>
      <c r="F22" s="15" t="n">
        <v>2</v>
      </c>
      <c r="G22" s="15" t="inlineStr">
        <is>
          <t>Did the fight still make sense with a second player in it?</t>
        </is>
      </c>
      <c r="H22" s="17" t="inlineStr">
        <is>
          <t>Not assigned yet</t>
        </is>
      </c>
      <c r="I22" s="17" t="inlineStr">
        <is>
          <t>Not tested yet</t>
        </is>
      </c>
      <c r="J22" s="17" t="n"/>
      <c r="K22" s="17" t="n"/>
      <c r="L22" s="17" t="n"/>
      <c r="M22" s="17" t="n"/>
      <c r="N22" s="17" t="n"/>
      <c r="O22" s="17" t="n"/>
      <c r="P22" s="17" t="n"/>
    </row>
    <row r="23" ht="49" customHeight="1">
      <c r="A23" s="15" t="inlineStr">
        <is>
          <t>C-01</t>
        </is>
      </c>
      <c r="B23" s="15" t="inlineStr">
        <is>
          <t>Not an ordinary test row</t>
        </is>
      </c>
      <c r="C23" s="15" t="inlineStr">
        <is>
          <t>Server feel</t>
        </is>
      </c>
      <c r="D23" s="15" t="inlineStr">
        <is>
          <t>Measurement: how the server feels during the busiest event</t>
        </is>
      </c>
      <c r="E23" s="15" t="inlineStr">
        <is>
          <t>Being in the apocalypse run of N-14.</t>
        </is>
      </c>
      <c r="F23" s="15" t="n">
        <v>2</v>
      </c>
      <c r="G23" s="15" t="inlineStr">
        <is>
          <t>Was there any moment the server felt slower than usual, and when?</t>
        </is>
      </c>
      <c r="H23" s="17" t="inlineStr">
        <is>
          <t>Not assigned yet</t>
        </is>
      </c>
      <c r="I23" s="17" t="inlineStr">
        <is>
          <t>Not tested yet</t>
        </is>
      </c>
      <c r="J23" s="17" t="n"/>
      <c r="K23" s="17" t="n"/>
      <c r="L23" s="17" t="n"/>
      <c r="M23" s="17" t="n"/>
      <c r="N23" s="17" t="n"/>
      <c r="O23" s="17" t="n"/>
      <c r="P23" s="17" t="n"/>
    </row>
  </sheetData>
  <autoFilter ref="A1:P23"/>
  <conditionalFormatting sqref="I2:I23">
    <cfRule type="expression" priority="1" dxfId="0">
      <formula>I2="Pass"</formula>
    </cfRule>
    <cfRule type="expression" priority="2" dxfId="1">
      <formula>I2="Partial pass"</formula>
    </cfRule>
    <cfRule type="expression" priority="3" dxfId="2">
      <formula>I2="Fail"</formula>
    </cfRule>
    <cfRule type="expression" priority="4" dxfId="3">
      <formula>I2="Blocked"</formula>
    </cfRule>
    <cfRule type="expression" priority="5" dxfId="4">
      <formula>I2="Not tested yet"</formula>
    </cfRule>
  </conditionalFormatting>
  <dataValidations count="2">
    <dataValidation sqref="H2:H23" showDropDown="0" showInputMessage="0" showErrorMessage="0" allowBlank="1" type="list">
      <formula1>"Tester A,Tester B,Both — coordinated,Not assigned yet"</formula1>
    </dataValidation>
    <dataValidation sqref="I2:I23" showDropDown="0" showInputMessage="0" showErrorMessage="0" allowBlank="1" type="list">
      <formula1>"Pass,Partial pass,Fail,Blocked,Not tested yet"</formula1>
    </dataValidation>
  </dataValidations>
  <pageMargins left="0.75" right="0.75" top="1" bottom="1" header="0.5" footer="0.5"/>
</worksheet>
</file>

<file path=xl/worksheets/sheet5.xml><?xml version="1.0" encoding="utf-8"?>
<worksheet xmlns="http://schemas.openxmlformats.org/spreadsheetml/2006/main">
  <sheetPr>
    <tabColor rgb="000F766E"/>
    <outlinePr summaryBelow="1" summaryRight="1"/>
    <pageSetUpPr/>
  </sheetPr>
  <dimension ref="A1:F11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6" customWidth="1" min="2" max="2"/>
    <col width="60" customWidth="1" min="3" max="3"/>
    <col width="50" customWidth="1" min="4" max="4"/>
    <col width="12" customWidth="1" min="5" max="5"/>
    <col width="40" customWidth="1" min="6" max="6"/>
  </cols>
  <sheetData>
    <row r="1" ht="32" customHeight="1">
      <c r="A1" s="13" t="inlineStr">
        <is>
          <t>Row id</t>
        </is>
      </c>
      <c r="B1" s="13" t="inlineStr">
        <is>
          <t>Step</t>
        </is>
      </c>
      <c r="C1" s="13" t="inlineStr">
        <is>
          <t>Do this</t>
        </is>
      </c>
      <c r="D1" s="13" t="inlineStr">
        <is>
          <t>You should see</t>
        </is>
      </c>
      <c r="E1" s="16" t="inlineStr">
        <is>
          <t>Result</t>
        </is>
      </c>
      <c r="F1" s="16" t="inlineStr">
        <is>
          <t>Notes</t>
        </is>
      </c>
    </row>
    <row r="2" ht="21" customHeight="1">
      <c r="A2" s="18" t="inlineStr">
        <is>
          <t>N-01 — First look: the command list and the status line</t>
        </is>
      </c>
    </row>
    <row r="3" ht="34" customHeight="1">
      <c r="A3" s="15" t="inlineStr">
        <is>
          <t>N-01</t>
        </is>
      </c>
      <c r="B3" s="15" t="n">
        <v>1</v>
      </c>
      <c r="C3" s="15" t="inlineStr">
        <is>
          <t>Type .nyar in chat</t>
        </is>
      </c>
      <c r="D3" s="15" t="inlineStr">
        <is>
          <t>a list of the commands you may run appears, including admin ones.</t>
        </is>
      </c>
      <c r="E3" s="7" t="n"/>
      <c r="F3" s="7" t="n"/>
    </row>
    <row r="4" ht="34" customHeight="1">
      <c r="A4" s="15" t="inlineStr">
        <is>
          <t>N-01</t>
        </is>
      </c>
      <c r="B4" s="15" t="n">
        <v>2</v>
      </c>
      <c r="C4" s="15" t="inlineStr">
        <is>
          <t>Type .nyar status</t>
        </is>
      </c>
      <c r="D4" s="15" t="inlineStr">
        <is>
          <t>it lists running events (probably none) and 'tracked units: 0'.</t>
        </is>
      </c>
      <c r="E4" s="7" t="n"/>
      <c r="F4" s="7" t="n"/>
    </row>
    <row r="5" ht="34" customHeight="1">
      <c r="A5" s="15" t="inlineStr">
        <is>
          <t>N-01</t>
        </is>
      </c>
      <c r="B5" s="15" t="n">
        <v>3</v>
      </c>
      <c r="C5" s="15" t="inlineStr">
        <is>
          <t>Type .nyar template list</t>
        </is>
      </c>
      <c r="D5" s="15" t="inlineStr">
        <is>
          <t>the ready-made events are listed (empowerment and spawn events).</t>
        </is>
      </c>
      <c r="E5" s="7" t="n"/>
      <c r="F5" s="7" t="n"/>
    </row>
    <row r="6" ht="34" customHeight="1">
      <c r="A6" s="15" t="inlineStr">
        <is>
          <t>N-01</t>
        </is>
      </c>
      <c r="B6" s="15" t="n">
        <v>4</v>
      </c>
      <c r="C6" s="15" t="inlineStr">
        <is>
          <t>Type .nyar pillar list</t>
        </is>
      </c>
      <c r="D6" s="15" t="inlineStr">
        <is>
          <t>it shows which kinds of event are switched on (empowerment, spawns).</t>
        </is>
      </c>
      <c r="E6" s="7" t="n"/>
      <c r="F6" s="7" t="n"/>
    </row>
    <row r="7" ht="21" customHeight="1">
      <c r="A7" s="18" t="inlineStr">
        <is>
          <t>N-02 — Undead grow stronger at nightfall (a night-time event)</t>
        </is>
      </c>
    </row>
    <row r="8" ht="34" customHeight="1">
      <c r="A8" s="15" t="inlineStr">
        <is>
          <t>N-02</t>
        </is>
      </c>
      <c r="B8" s="15" t="n">
        <v>1</v>
      </c>
      <c r="C8" s="15" t="inlineStr">
        <is>
          <t>Type .nyar template use undead-nightfall</t>
        </is>
      </c>
      <c r="D8" s="15" t="inlineStr">
        <is>
          <t>it is copied into the server's events, switched off.</t>
        </is>
      </c>
      <c r="E8" s="7" t="n"/>
      <c r="F8" s="7" t="n"/>
    </row>
    <row r="9" ht="34" customHeight="1">
      <c r="A9" s="15" t="inlineStr">
        <is>
          <t>N-02</t>
        </is>
      </c>
      <c r="B9" s="15" t="n">
        <v>2</v>
      </c>
      <c r="C9" s="15" t="inlineStr">
        <is>
          <t>Type .nyar pillar empowerment on, then .nyar event enable undead-nightfall</t>
        </is>
      </c>
      <c r="D9" s="15" t="inlineStr">
        <is>
          <t>both confirm (if it is already night in game, the event starts at once).</t>
        </is>
      </c>
      <c r="E9" s="7" t="n"/>
      <c r="F9" s="7" t="n"/>
    </row>
    <row r="10" ht="34" customHeight="1">
      <c r="A10" s="15" t="inlineStr">
        <is>
          <t>N-02</t>
        </is>
      </c>
      <c r="B10" s="15" t="n">
        <v>3</v>
      </c>
      <c r="C10" s="15" t="inlineStr">
        <is>
          <t>Wait near undead NPCs until night falls in game</t>
        </is>
      </c>
      <c r="D10" s="15" t="inlineStr">
        <is>
          <t>a start line shows in chat and .nyar status lists the event with minutes left.</t>
        </is>
      </c>
      <c r="E10" s="7" t="n"/>
      <c r="F10" s="7" t="n"/>
    </row>
    <row r="11" ht="34" customHeight="1">
      <c r="A11" s="15" t="inlineStr">
        <is>
          <t>N-02</t>
        </is>
      </c>
      <c r="B11" s="15" t="n">
        <v>4</v>
      </c>
      <c r="C11" s="15" t="inlineStr">
        <is>
          <t>Fight a few undead during the event, then again after it ends</t>
        </is>
      </c>
      <c r="D11" s="15" t="inlineStr">
        <is>
          <t>they hit harder and take more to kill during it, and are back to normal after.</t>
        </is>
      </c>
      <c r="E11" s="7" t="n"/>
      <c r="F11" s="7" t="n"/>
    </row>
    <row r="12" ht="19" customHeight="1">
      <c r="A12" s="15" t="inlineStr">
        <is>
          <t>N-02</t>
        </is>
      </c>
      <c r="B12" s="15" t="n">
        <v>5</v>
      </c>
      <c r="C12" s="15" t="inlineStr">
        <is>
          <t>Type .nyar debug here 30 near undead during the event</t>
        </is>
      </c>
      <c r="D12" s="15" t="inlineStr">
        <is>
          <t>native NPCs are listed with their buff.</t>
        </is>
      </c>
      <c r="E12" s="7" t="n"/>
      <c r="F12" s="7" t="n"/>
    </row>
    <row r="13" ht="21" customHeight="1">
      <c r="A13" s="18" t="inlineStr">
        <is>
          <t>N-03 — A weekly surge on a schedule (day and time)</t>
        </is>
      </c>
    </row>
    <row r="14" ht="34" customHeight="1">
      <c r="A14" s="15" t="inlineStr">
        <is>
          <t>N-03</t>
        </is>
      </c>
      <c r="B14" s="15" t="n">
        <v>1</v>
      </c>
      <c r="C14" s="15" t="inlineStr">
        <is>
          <t>Type .nyar template use legion-weekend-surge and .nyar pillar empowerment on.</t>
        </is>
      </c>
      <c r="D14" s="15" t="inlineStr"/>
      <c r="E14" s="7" t="n"/>
      <c r="F14" s="7" t="n"/>
    </row>
    <row r="15" ht="49" customHeight="1">
      <c r="A15" s="15" t="inlineStr">
        <is>
          <t>N-03</t>
        </is>
      </c>
      <c r="B15" s="15" t="n">
        <v>2</v>
      </c>
      <c r="C15" s="15" t="inlineStr">
        <is>
          <t>Type .nyar event set legion-weekend-surge trigger.days &lt;today, e.g. Wed&gt; and .nyar event set legion-weekend-surge trigger.times &lt;server time plus 5 minutes, e.g. 21:35&gt;</t>
        </is>
      </c>
      <c r="D15" s="15" t="inlineStr">
        <is>
          <t>each confirms.</t>
        </is>
      </c>
      <c r="E15" s="7" t="n"/>
      <c r="F15" s="7" t="n"/>
    </row>
    <row r="16" ht="34" customHeight="1">
      <c r="A16" s="15" t="inlineStr">
        <is>
          <t>N-03</t>
        </is>
      </c>
      <c r="B16" s="15" t="n">
        <v>3</v>
      </c>
      <c r="C16" s="15" t="inlineStr">
        <is>
          <t>Type .nyar event enable legion-weekend-surge, then .nyar event info legion-weekend-surge</t>
        </is>
      </c>
      <c r="D16" s="15" t="inlineStr">
        <is>
          <t>it shows the next start.</t>
        </is>
      </c>
      <c r="E16" s="7" t="n"/>
      <c r="F16" s="7" t="n"/>
    </row>
    <row r="17" ht="34" customHeight="1">
      <c r="A17" s="15" t="inlineStr">
        <is>
          <t>N-03</t>
        </is>
      </c>
      <c r="B17" s="15" t="n">
        <v>4</v>
      </c>
      <c r="C17" s="15" t="inlineStr">
        <is>
          <t>Wait for that time near Legion NPCs</t>
        </is>
      </c>
      <c r="D17" s="15" t="inlineStr">
        <is>
          <t>the event starts on the minute with a start line in chat.</t>
        </is>
      </c>
      <c r="E17" s="7" t="n"/>
      <c r="F17" s="7" t="n"/>
    </row>
    <row r="18" ht="34" customHeight="1">
      <c r="A18" s="15" t="inlineStr">
        <is>
          <t>N-03</t>
        </is>
      </c>
      <c r="B18" s="15" t="n">
        <v>5</v>
      </c>
      <c r="C18" s="15" t="inlineStr">
        <is>
          <t>After 30 minutes</t>
        </is>
      </c>
      <c r="D18" s="15" t="inlineStr">
        <is>
          <t>an end line shows and the Legion are back to normal.</t>
        </is>
      </c>
      <c r="E18" s="7" t="n"/>
      <c r="F18" s="7" t="n"/>
    </row>
    <row r="19" ht="21" customHeight="1">
      <c r="A19" s="18" t="inlineStr">
        <is>
          <t>N-04 — Bandits take revenge for a fallen V Blood leader</t>
        </is>
      </c>
    </row>
    <row r="20" ht="34" customHeight="1">
      <c r="A20" s="15" t="inlineStr">
        <is>
          <t>N-04</t>
        </is>
      </c>
      <c r="B20" s="15" t="n">
        <v>1</v>
      </c>
      <c r="C20" s="15" t="inlineStr">
        <is>
          <t>Type .nyar template use bandit-vengeance, .nyar pillar empowerment on, .nyar event enable bandit-vengeance.</t>
        </is>
      </c>
      <c r="D20" s="15" t="inlineStr"/>
      <c r="E20" s="7" t="n"/>
      <c r="F20" s="7" t="n"/>
    </row>
    <row r="21" ht="34" customHeight="1">
      <c r="A21" s="15" t="inlineStr">
        <is>
          <t>N-04</t>
        </is>
      </c>
      <c r="B21" s="15" t="n">
        <v>2</v>
      </c>
      <c r="C21" s="15" t="inlineStr">
        <is>
          <t>Kill one of the bandit V Bloods in the normal way</t>
        </is>
      </c>
      <c r="D21" s="15" t="inlineStr">
        <is>
          <t>right after, a line in chat says the bandits swear vengeance.</t>
        </is>
      </c>
      <c r="E21" s="7" t="n"/>
      <c r="F21" s="7" t="n"/>
    </row>
    <row r="22" ht="19" customHeight="1">
      <c r="A22" s="15" t="inlineStr">
        <is>
          <t>N-04</t>
        </is>
      </c>
      <c r="B22" s="15" t="n">
        <v>3</v>
      </c>
      <c r="C22" s="15" t="inlineStr">
        <is>
          <t>Fight bandits at a nearby camp during the next 10 minutes</t>
        </is>
      </c>
      <c r="D22" s="15" t="inlineStr">
        <is>
          <t>they hit and attack faster than usual.</t>
        </is>
      </c>
      <c r="E22" s="7" t="n"/>
      <c r="F22" s="7" t="n"/>
    </row>
    <row r="23" ht="19" customHeight="1">
      <c r="A23" s="15" t="inlineStr">
        <is>
          <t>N-04</t>
        </is>
      </c>
      <c r="B23" s="15" t="n">
        <v>4</v>
      </c>
      <c r="C23" s="15" t="inlineStr">
        <is>
          <t>Kill a second bandit V Blood within 30 minutes</t>
        </is>
      </c>
      <c r="D23" s="15" t="inlineStr">
        <is>
          <t>no second vengeance starts (cooldown).</t>
        </is>
      </c>
      <c r="E23" s="7" t="n"/>
      <c r="F23" s="7" t="n"/>
    </row>
    <row r="24" ht="21" customHeight="1">
      <c r="A24" s="18" t="inlineStr">
        <is>
          <t>N-05 — An ambush waiting at a spot you choose</t>
        </is>
      </c>
    </row>
    <row r="25" ht="34" customHeight="1">
      <c r="A25" s="15" t="inlineStr">
        <is>
          <t>N-05</t>
        </is>
      </c>
      <c r="B25" s="15" t="n">
        <v>1</v>
      </c>
      <c r="C25" s="15" t="inlineStr">
        <is>
          <t>Type .nyar template use bandit-ambush and .nyar pillar spawns on</t>
        </is>
      </c>
      <c r="D25" s="15" t="inlineStr">
        <is>
          <t>both confirm.</t>
        </is>
      </c>
      <c r="E25" s="7" t="n"/>
      <c r="F25" s="7" t="n"/>
    </row>
    <row r="26" ht="34" customHeight="1">
      <c r="A26" s="15" t="inlineStr">
        <is>
          <t>N-05</t>
        </is>
      </c>
      <c r="B26" s="15" t="n">
        <v>2</v>
      </c>
      <c r="C26" s="15" t="inlineStr">
        <is>
          <t>Walk to where the ambush should happen and type .nyar event set bandit-ambush location here</t>
        </is>
      </c>
      <c r="D26" s="15" t="inlineStr">
        <is>
          <t>it confirms with your position.</t>
        </is>
      </c>
      <c r="E26" s="7" t="n"/>
      <c r="F26" s="7" t="n"/>
    </row>
    <row r="27" ht="49" customHeight="1">
      <c r="A27" s="15" t="inlineStr">
        <is>
          <t>N-05</t>
        </is>
      </c>
      <c r="B27" s="15" t="n">
        <v>3</v>
      </c>
      <c r="C27" s="15" t="inlineStr">
        <is>
          <t>Set the difficulty with .nyar event set bandit-ambush action.modifiers.level 30, then type .nyar event enable bandit-ambush</t>
        </is>
      </c>
      <c r="D27" s="15" t="inlineStr">
        <is>
          <t>each confirms.</t>
        </is>
      </c>
      <c r="E27" s="7" t="n"/>
      <c r="F27" s="7" t="n"/>
    </row>
    <row r="28" ht="34" customHeight="1">
      <c r="A28" s="15" t="inlineStr">
        <is>
          <t>N-05</t>
        </is>
      </c>
      <c r="B28" s="15" t="n">
        <v>4</v>
      </c>
      <c r="C28" s="15" t="inlineStr">
        <is>
          <t>Walk at least 100 m away and type .nyar event start bandit-ambush</t>
        </is>
      </c>
      <c r="D28" s="15" t="inlineStr">
        <is>
          <t>nothing appears around you; the bandits are waiting at the saved spot.</t>
        </is>
      </c>
      <c r="E28" s="7" t="n"/>
      <c r="F28" s="7" t="n"/>
    </row>
    <row r="29" ht="79" customHeight="1">
      <c r="A29" s="15" t="inlineStr">
        <is>
          <t>N-05</t>
        </is>
      </c>
      <c r="B29" s="15" t="n">
        <v>5</v>
      </c>
      <c r="C29" s="15" t="inlineStr">
        <is>
          <t>Go back and fight</t>
        </is>
      </c>
      <c r="D29" s="15" t="inlineStr">
        <is>
          <t>waves 2 and 3 arrive a minute apart, all at level 30. When it ends (10 minutes, or .nyar event stop bandit-ambush) the leftovers disappear about 30 s later; .nyar status reads 'tracked units: 0'.</t>
        </is>
      </c>
      <c r="E29" s="7" t="n"/>
      <c r="F29" s="7" t="n"/>
    </row>
    <row r="30" ht="21" customHeight="1">
      <c r="A30" s="18" t="inlineStr">
        <is>
          <t>N-06 — Graveyard waves: three waves, a guardian and a scoreboard</t>
        </is>
      </c>
    </row>
    <row r="31" ht="34" customHeight="1">
      <c r="A31" s="15" t="inlineStr">
        <is>
          <t>N-06</t>
        </is>
      </c>
      <c r="B31" s="15" t="n">
        <v>1</v>
      </c>
      <c r="C31" s="15" t="inlineStr">
        <is>
          <t>Type .nyar template use graveyard-waves, .nyar event enable graveyard-waves.</t>
        </is>
      </c>
      <c r="D31" s="15" t="inlineStr"/>
      <c r="E31" s="7" t="n"/>
      <c r="F31" s="7" t="n"/>
    </row>
    <row r="32" ht="34" customHeight="1">
      <c r="A32" s="15" t="inlineStr">
        <is>
          <t>N-06</t>
        </is>
      </c>
      <c r="B32" s="15" t="n">
        <v>2</v>
      </c>
      <c r="C32" s="15" t="inlineStr">
        <is>
          <t>Everyone goes to a graveyard (outside castles); the admin types .nyar event start graveyard-waves</t>
        </is>
      </c>
      <c r="D32" s="15" t="inlineStr">
        <is>
          <t>skeletons appear 20-40 m from one player and come for you.</t>
        </is>
      </c>
      <c r="E32" s="7" t="n"/>
      <c r="F32" s="7" t="n"/>
    </row>
    <row r="33" ht="34" customHeight="1">
      <c r="A33" s="15" t="inlineStr">
        <is>
          <t>N-06</t>
        </is>
      </c>
      <c r="B33" s="15" t="n">
        <v>3</v>
      </c>
      <c r="C33" s="15" t="inlineStr">
        <is>
          <t>Clear wave 1</t>
        </is>
      </c>
      <c r="D33" s="15" t="inlineStr">
        <is>
          <t>wave 2 comes (stronger), then wave 3 with the Undead Guardian.</t>
        </is>
      </c>
      <c r="E33" s="7" t="n"/>
      <c r="F33" s="7" t="n"/>
    </row>
    <row r="34" ht="34" customHeight="1">
      <c r="A34" s="15" t="inlineStr">
        <is>
          <t>N-06</t>
        </is>
      </c>
      <c r="B34" s="15" t="n">
        <v>4</v>
      </c>
      <c r="C34" s="15" t="inlineStr">
        <is>
          <t>Clear wave 3</t>
        </is>
      </c>
      <c r="D34" s="15" t="inlineStr">
        <is>
          <t>chat says all waves are defeated and shows the top 3 by kills with deaths.</t>
        </is>
      </c>
      <c r="E34" s="7" t="n"/>
      <c r="F34" s="7" t="n"/>
    </row>
    <row r="35" ht="19" customHeight="1">
      <c r="A35" s="15" t="inlineStr">
        <is>
          <t>N-06</t>
        </is>
      </c>
      <c r="B35" s="15" t="n">
        <v>5</v>
      </c>
      <c r="C35" s="15" t="inlineStr">
        <is>
          <t>Compare the scoreboard with who actually got the kills.</t>
        </is>
      </c>
      <c r="D35" s="15" t="inlineStr"/>
      <c r="E35" s="7" t="n"/>
      <c r="F35" s="7" t="n"/>
    </row>
    <row r="36" ht="21" customHeight="1">
      <c r="A36" s="18" t="inlineStr">
        <is>
          <t>N-07 — Hunters that roam on their own (a random interval) and split up between players</t>
        </is>
      </c>
    </row>
    <row r="37" ht="34" customHeight="1">
      <c r="A37" s="15" t="inlineStr">
        <is>
          <t>N-07</t>
        </is>
      </c>
      <c r="B37" s="15" t="n">
        <v>1</v>
      </c>
      <c r="C37" s="15" t="inlineStr">
        <is>
          <t>Type .nyar template use roaming-hunters, .nyar event enable roaming-hunters.</t>
        </is>
      </c>
      <c r="D37" s="15" t="inlineStr"/>
      <c r="E37" s="7" t="n"/>
      <c r="F37" s="7" t="n"/>
    </row>
    <row r="38" ht="49" customHeight="1">
      <c r="A38" s="15" t="inlineStr">
        <is>
          <t>N-07</t>
        </is>
      </c>
      <c r="B38" s="15" t="n">
        <v>2</v>
      </c>
      <c r="C38" s="15" t="inlineStr">
        <is>
          <t>Type .nyar event set roaming-hunters trigger.minMinutes 5 and .nyar event set roaming-hunters trigger.maxMinutes 5; .nyar event info roaming-hunters shows the next start.</t>
        </is>
      </c>
      <c r="D38" s="15" t="inlineStr"/>
      <c r="E38" s="7" t="n"/>
      <c r="F38" s="7" t="n"/>
    </row>
    <row r="39" ht="34" customHeight="1">
      <c r="A39" s="15" t="inlineStr">
        <is>
          <t>N-07</t>
        </is>
      </c>
      <c r="B39" s="15" t="n">
        <v>3</v>
      </c>
      <c r="C39" s="15" t="inlineStr">
        <is>
          <t>Both players stand 150 m or more apart, outside castles</t>
        </is>
      </c>
      <c r="D39" s="15" t="inlineStr">
        <is>
          <t>within about 5 minutes each of you gets a separate bandit squad 20-40 m away that hunts you.</t>
        </is>
      </c>
      <c r="E39" s="7" t="n"/>
      <c r="F39" s="7" t="n"/>
    </row>
    <row r="40" ht="34" customHeight="1">
      <c r="A40" s="15" t="inlineStr">
        <is>
          <t>N-07</t>
        </is>
      </c>
      <c r="B40" s="15" t="n">
        <v>4</v>
      </c>
      <c r="C40" s="15" t="inlineStr">
        <is>
          <t>One player stands inside their castle territory at the next start</t>
        </is>
      </c>
      <c r="D40" s="15" t="inlineStr">
        <is>
          <t>that player gets no squad.</t>
        </is>
      </c>
      <c r="E40" s="7" t="n"/>
      <c r="F40" s="7" t="n"/>
    </row>
    <row r="41" ht="21" customHeight="1">
      <c r="A41" s="18" t="inlineStr">
        <is>
          <t>N-08 — The border watch rides out when you enter Dunley Farmlands</t>
        </is>
      </c>
    </row>
    <row r="42" ht="34" customHeight="1">
      <c r="A42" s="15" t="inlineStr">
        <is>
          <t>N-08</t>
        </is>
      </c>
      <c r="B42" s="15" t="n">
        <v>1</v>
      </c>
      <c r="C42" s="15" t="inlineStr">
        <is>
          <t>Type .nyar template use border-watch, .nyar event enable border-watch.</t>
        </is>
      </c>
      <c r="D42" s="15" t="inlineStr"/>
      <c r="E42" s="7" t="n"/>
      <c r="F42" s="7" t="n"/>
    </row>
    <row r="43" ht="34" customHeight="1">
      <c r="A43" s="15" t="inlineStr">
        <is>
          <t>N-08</t>
        </is>
      </c>
      <c r="B43" s="15" t="n">
        <v>2</v>
      </c>
      <c r="C43" s="15" t="inlineStr">
        <is>
          <t>Walk across the border into Dunley Farmlands</t>
        </is>
      </c>
      <c r="D43" s="15" t="inlineStr">
        <is>
          <t>within seconds militia appear 20-40 m away and hunt you.</t>
        </is>
      </c>
      <c r="E43" s="7" t="n"/>
      <c r="F43" s="7" t="n"/>
    </row>
    <row r="44" ht="19" customHeight="1">
      <c r="A44" s="15" t="inlineStr">
        <is>
          <t>N-08</t>
        </is>
      </c>
      <c r="B44" s="15" t="n">
        <v>3</v>
      </c>
      <c r="C44" s="15" t="inlineStr">
        <is>
          <t>Type .nyar region here</t>
        </is>
      </c>
      <c r="D44" s="15" t="inlineStr">
        <is>
          <t>it names Dunley Farmlands.</t>
        </is>
      </c>
      <c r="E44" s="7" t="n"/>
      <c r="F44" s="7" t="n"/>
    </row>
    <row r="45" ht="19" customHeight="1">
      <c r="A45" s="15" t="inlineStr">
        <is>
          <t>N-08</t>
        </is>
      </c>
      <c r="B45" s="15" t="n">
        <v>4</v>
      </c>
      <c r="C45" s="15" t="inlineStr">
        <is>
          <t>Leave and walk back in within 30 minutes</t>
        </is>
      </c>
      <c r="D45" s="15" t="inlineStr">
        <is>
          <t>nothing spawns the second time.</t>
        </is>
      </c>
      <c r="E45" s="7" t="n"/>
      <c r="F45" s="7" t="n"/>
    </row>
    <row r="46" ht="21" customHeight="1">
      <c r="A46" s="18" t="inlineStr">
        <is>
          <t>N-09 — Bandit reprisal after a killing spree</t>
        </is>
      </c>
    </row>
    <row r="47" ht="34" customHeight="1">
      <c r="A47" s="15" t="inlineStr">
        <is>
          <t>N-09</t>
        </is>
      </c>
      <c r="B47" s="15" t="n">
        <v>1</v>
      </c>
      <c r="C47" s="15" t="inlineStr">
        <is>
          <t>Type .nyar template use bandit-reprisal, .nyar event enable bandit-reprisal.</t>
        </is>
      </c>
      <c r="D47" s="15" t="inlineStr"/>
      <c r="E47" s="7" t="n"/>
      <c r="F47" s="7" t="n"/>
    </row>
    <row r="48" ht="34" customHeight="1">
      <c r="A48" s="15" t="inlineStr">
        <is>
          <t>N-09</t>
        </is>
      </c>
      <c r="B48" s="15" t="n">
        <v>2</v>
      </c>
      <c r="C48" s="15" t="inlineStr">
        <is>
          <t>Type .nyar event set bandit-reprisal trigger.kills 10 and .nyar event set bandit-reprisal trigger.windowSeconds 600.</t>
        </is>
      </c>
      <c r="D48" s="15" t="inlineStr"/>
      <c r="E48" s="7" t="n"/>
      <c r="F48" s="7" t="n"/>
    </row>
    <row r="49" ht="34" customHeight="1">
      <c r="A49" s="15" t="inlineStr">
        <is>
          <t>N-09</t>
        </is>
      </c>
      <c r="B49" s="15" t="n">
        <v>3</v>
      </c>
      <c r="C49" s="15" t="inlineStr">
        <is>
          <t>Kill 10 bandits within 10 minutes</t>
        </is>
      </c>
      <c r="D49" s="15" t="inlineStr">
        <is>
          <t>right after the tenth, a squad appears 20-40 m away and hunts you.</t>
        </is>
      </c>
      <c r="E49" s="7" t="n"/>
      <c r="F49" s="7" t="n"/>
    </row>
    <row r="50" ht="19" customHeight="1">
      <c r="A50" s="15" t="inlineStr">
        <is>
          <t>N-09</t>
        </is>
      </c>
      <c r="B50" s="15" t="n">
        <v>4</v>
      </c>
      <c r="C50" s="15" t="inlineStr">
        <is>
          <t>A second player kills only 5 bandits</t>
        </is>
      </c>
      <c r="D50" s="15" t="inlineStr">
        <is>
          <t>no squad comes for them.</t>
        </is>
      </c>
      <c r="E50" s="7" t="n"/>
      <c r="F50" s="7" t="n"/>
    </row>
    <row r="51" ht="21" customHeight="1">
      <c r="A51" s="18" t="inlineStr">
        <is>
          <t>N-10 — A scheduled arena night: the spider swarm at a set place and time</t>
        </is>
      </c>
    </row>
    <row r="52" ht="49" customHeight="1">
      <c r="A52" s="15" t="inlineStr">
        <is>
          <t>N-10</t>
        </is>
      </c>
      <c r="B52" s="15" t="n">
        <v>1</v>
      </c>
      <c r="C52" s="15" t="inlineStr">
        <is>
          <t>Type .nyar template use spider-swarm. Stand in the middle of your arena and type .nyar event set spider-swarm location here</t>
        </is>
      </c>
      <c r="D52" s="15" t="inlineStr">
        <is>
          <t>it confirms; the arena is the 40 m around that spot.</t>
        </is>
      </c>
      <c r="E52" s="7" t="n"/>
      <c r="F52" s="7" t="n"/>
    </row>
    <row r="53" ht="79" customHeight="1">
      <c r="A53" s="15" t="inlineStr">
        <is>
          <t>N-10</t>
        </is>
      </c>
      <c r="B53" s="15" t="n">
        <v>2</v>
      </c>
      <c r="C53" s="15" t="inlineStr">
        <is>
          <t>Type .nyar event set spider-swarm trigger.type Schedule, .nyar event set spider-swarm trigger.days &lt;today, e.g. Sat&gt; and .nyar event set spider-swarm trigger.times &lt;server time plus 10 minutes, e.g. 21:40&gt;, then .nyar event enable spider-swarm</t>
        </is>
      </c>
      <c r="D53" s="15" t="inlineStr">
        <is>
          <t>.nyar event info spider-swarm shows the next start and all five waves.</t>
        </is>
      </c>
      <c r="E53" s="7" t="n"/>
      <c r="F53" s="7" t="n"/>
    </row>
    <row r="54" ht="34" customHeight="1">
      <c r="A54" s="15" t="inlineStr">
        <is>
          <t>N-10</t>
        </is>
      </c>
      <c r="B54" s="15" t="n">
        <v>3</v>
      </c>
      <c r="C54" s="15" t="inlineStr">
        <is>
          <t>Tell everyone: .nyar announce Spider arena at &lt;place&gt; in 10 minutes</t>
        </is>
      </c>
      <c r="D54" s="15" t="inlineStr">
        <is>
          <t>every player sees the line.</t>
        </is>
      </c>
      <c r="E54" s="7" t="n"/>
      <c r="F54" s="7" t="n"/>
    </row>
    <row r="55" ht="34" customHeight="1">
      <c r="A55" s="15" t="inlineStr">
        <is>
          <t>N-10</t>
        </is>
      </c>
      <c r="B55" s="15" t="n">
        <v>4</v>
      </c>
      <c r="C55" s="15" t="inlineStr">
        <is>
          <t>Gather in the arena; nobody types start</t>
        </is>
      </c>
      <c r="D55" s="15" t="inlineStr">
        <is>
          <t>on the minute, a start line shows and spiders appear in the arena.</t>
        </is>
      </c>
      <c r="E55" s="7" t="n"/>
      <c r="F55" s="7" t="n"/>
    </row>
    <row r="56" ht="64" customHeight="1">
      <c r="A56" s="15" t="inlineStr">
        <is>
          <t>N-10</t>
        </is>
      </c>
      <c r="B56" s="15" t="n">
        <v>5</v>
      </c>
      <c r="C56" s="15" t="inlineStr">
        <is>
          <t>Run more than 40 m out during a wave</t>
        </is>
      </c>
      <c r="D56" s="15" t="inlineStr">
        <is>
          <t>the spiders do not follow. Clear wave 5 and the Queen -&gt; the scoreboard names a winner. Then type .nyar event disable spider-swarm so it does not repeat next week.</t>
        </is>
      </c>
      <c r="E56" s="7" t="n"/>
      <c r="F56" s="7" t="n"/>
    </row>
    <row r="57" ht="21" customHeight="1">
      <c r="A57" s="18" t="inlineStr">
        <is>
          <t>N-11 — Spider hunting grounds: spiders roam a whole region and hunt whoever is inside</t>
        </is>
      </c>
    </row>
    <row r="58" ht="49" customHeight="1">
      <c r="A58" s="15" t="inlineStr">
        <is>
          <t>N-11</t>
        </is>
      </c>
      <c r="B58" s="15" t="n">
        <v>1</v>
      </c>
      <c r="C58" s="15" t="inlineStr">
        <is>
          <t>Type .nyar template use spider-hunting-grounds, .nyar event enable spider-hunting-grounds, .nyar event start spider-hunting-grounds.</t>
        </is>
      </c>
      <c r="D58" s="15" t="inlineStr"/>
      <c r="E58" s="7" t="n"/>
      <c r="F58" s="7" t="n"/>
    </row>
    <row r="59" ht="19" customHeight="1">
      <c r="A59" s="15" t="inlineStr">
        <is>
          <t>N-11</t>
        </is>
      </c>
      <c r="B59" s="15" t="n">
        <v>2</v>
      </c>
      <c r="C59" s="15" t="inlineStr">
        <is>
          <t>The player inside Dunley waits in the open</t>
        </is>
      </c>
      <c r="D59" s="15" t="inlineStr">
        <is>
          <t>within a few minutes spider groups find them.</t>
        </is>
      </c>
      <c r="E59" s="7" t="n"/>
      <c r="F59" s="7" t="n"/>
    </row>
    <row r="60" ht="19" customHeight="1">
      <c r="A60" s="15" t="inlineStr">
        <is>
          <t>N-11</t>
        </is>
      </c>
      <c r="B60" s="15" t="n">
        <v>3</v>
      </c>
      <c r="C60" s="15" t="inlineStr">
        <is>
          <t>That player runs out of the region across the border</t>
        </is>
      </c>
      <c r="D60" s="15" t="inlineStr">
        <is>
          <t>the spiders stop at the border and turn back.</t>
        </is>
      </c>
      <c r="E60" s="7" t="n"/>
      <c r="F60" s="7" t="n"/>
    </row>
    <row r="61" ht="19" customHeight="1">
      <c r="A61" s="15" t="inlineStr">
        <is>
          <t>N-11</t>
        </is>
      </c>
      <c r="B61" s="15" t="n">
        <v>4</v>
      </c>
      <c r="C61" s="15" t="inlineStr">
        <is>
          <t>The player outside the region stays outside</t>
        </is>
      </c>
      <c r="D61" s="15" t="inlineStr">
        <is>
          <t>no spiders come for them.</t>
        </is>
      </c>
      <c r="E61" s="7" t="n"/>
      <c r="F61" s="7" t="n"/>
    </row>
    <row r="62" ht="34" customHeight="1">
      <c r="A62" s="15" t="inlineStr">
        <is>
          <t>N-11</t>
        </is>
      </c>
      <c r="B62" s="15" t="n">
        <v>5</v>
      </c>
      <c r="C62" s="15" t="inlineStr">
        <is>
          <t>Watch spiders approach from far away</t>
        </is>
      </c>
      <c r="D62" s="15" t="inlineStr">
        <is>
          <t>you never see one appear out of nowhere close to you.</t>
        </is>
      </c>
      <c r="E62" s="7" t="n"/>
      <c r="F62" s="7" t="n"/>
    </row>
    <row r="63" ht="21" customHeight="1">
      <c r="A63" s="18" t="inlineStr">
        <is>
          <t>N-12 — A regional ambush: only players inside the region are picked</t>
        </is>
      </c>
    </row>
    <row r="64" ht="34" customHeight="1">
      <c r="A64" s="15" t="inlineStr">
        <is>
          <t>N-12</t>
        </is>
      </c>
      <c r="B64" s="15" t="n">
        <v>1</v>
      </c>
      <c r="C64" s="15" t="inlineStr">
        <is>
          <t>Type .nyar template use graveyard-waves as farbane-ambush, then .nyar event enable farbane-ambush.</t>
        </is>
      </c>
      <c r="D64" s="15" t="inlineStr"/>
      <c r="E64" s="7" t="n"/>
      <c r="F64" s="7" t="n"/>
    </row>
    <row r="65" ht="49" customHeight="1">
      <c r="A65" s="15" t="inlineStr">
        <is>
          <t>N-12</t>
        </is>
      </c>
      <c r="B65" s="15" t="n">
        <v>2</v>
      </c>
      <c r="C65" s="15" t="inlineStr">
        <is>
          <t>Type .nyar event set farbane-ambush action.scope FarbaneWoods and .nyar event set farbane-ambush action.regionLock true</t>
        </is>
      </c>
      <c r="D65" s="15" t="inlineStr">
        <is>
          <t>each confirms.</t>
        </is>
      </c>
      <c r="E65" s="7" t="n"/>
      <c r="F65" s="7" t="n"/>
    </row>
    <row r="66" ht="34" customHeight="1">
      <c r="A66" s="15" t="inlineStr">
        <is>
          <t>N-12</t>
        </is>
      </c>
      <c r="B66" s="15" t="n">
        <v>3</v>
      </c>
      <c r="C66" s="15" t="inlineStr">
        <is>
          <t>With one player in Farbane Woods and one elsewhere, type .nyar event start farbane-ambush</t>
        </is>
      </c>
      <c r="D66" s="15" t="inlineStr">
        <is>
          <t>the skeletons appear only near the player in Farbane Woods.</t>
        </is>
      </c>
      <c r="E66" s="7" t="n"/>
      <c r="F66" s="7" t="n"/>
    </row>
    <row r="67" ht="19" customHeight="1">
      <c r="A67" s="15" t="inlineStr">
        <is>
          <t>N-12</t>
        </is>
      </c>
      <c r="B67" s="15" t="n">
        <v>4</v>
      </c>
      <c r="C67" s="15" t="inlineStr">
        <is>
          <t>That player runs out of Farbane Woods</t>
        </is>
      </c>
      <c r="D67" s="15" t="inlineStr">
        <is>
          <t>the skeletons do not follow across the border.</t>
        </is>
      </c>
      <c r="E67" s="7" t="n"/>
      <c r="F67" s="7" t="n"/>
    </row>
    <row r="68" ht="21" customHeight="1">
      <c r="A68" s="18" t="inlineStr">
        <is>
          <t>N-13 — Bandit revenge: warnings, then a private hunt</t>
        </is>
      </c>
    </row>
    <row r="69" ht="34" customHeight="1">
      <c r="A69" s="15" t="inlineStr">
        <is>
          <t>N-13</t>
        </is>
      </c>
      <c r="B69" s="15" t="n">
        <v>1</v>
      </c>
      <c r="C69" s="15" t="inlineStr">
        <is>
          <t>Type .nyar template use bandit-revenge, .nyar event enable bandit-revenge.</t>
        </is>
      </c>
      <c r="D69" s="15" t="inlineStr"/>
      <c r="E69" s="7" t="n"/>
      <c r="F69" s="7" t="n"/>
    </row>
    <row r="70" ht="64" customHeight="1">
      <c r="A70" s="15" t="inlineStr">
        <is>
          <t>N-13</t>
        </is>
      </c>
      <c r="B70" s="15" t="n">
        <v>2</v>
      </c>
      <c r="C70" s="15" t="inlineStr">
        <is>
          <t>Type .nyar event set bandit-revenge trigger.warnAt 4,8 first, then .nyar event set bandit-revenge trigger.heat 12 (a small-server setting; the warnings must stay below the heat, so this order)</t>
        </is>
      </c>
      <c r="D70" s="15" t="inlineStr">
        <is>
          <t>each confirms.</t>
        </is>
      </c>
      <c r="E70" s="7" t="n"/>
      <c r="F70" s="7" t="n"/>
    </row>
    <row r="71" ht="34" customHeight="1">
      <c r="A71" s="15" t="inlineStr">
        <is>
          <t>N-13</t>
        </is>
      </c>
      <c r="B71" s="15" t="n">
        <v>3</v>
      </c>
      <c r="C71" s="15" t="inlineStr">
        <is>
          <t>Kill bandits</t>
        </is>
      </c>
      <c r="D71" s="15" t="inlineStr">
        <is>
          <t>after 4 and after 8 kills you get a private warning; the other player sees nothing.</t>
        </is>
      </c>
      <c r="E71" s="7" t="n"/>
      <c r="F71" s="7" t="n"/>
    </row>
    <row r="72" ht="49" customHeight="1">
      <c r="A72" s="15" t="inlineStr">
        <is>
          <t>N-13</t>
        </is>
      </c>
      <c r="B72" s="15" t="n">
        <v>4</v>
      </c>
      <c r="C72" s="15" t="inlineStr">
        <is>
          <t>Kill 12</t>
        </is>
      </c>
      <c r="D72" s="15" t="inlineStr">
        <is>
          <t>everyone sees an alert that names no one; you get a private line; bandits appear 20-40 m from you and hunt you.</t>
        </is>
      </c>
      <c r="E72" s="7" t="n"/>
      <c r="F72" s="7" t="n"/>
    </row>
    <row r="73" ht="19" customHeight="1">
      <c r="A73" s="15" t="inlineStr">
        <is>
          <t>N-13</t>
        </is>
      </c>
      <c r="B73" s="15" t="n">
        <v>5</v>
      </c>
      <c r="C73" s="15" t="inlineStr">
        <is>
          <t>The second player stands near you</t>
        </is>
      </c>
      <c r="D73" s="15" t="inlineStr">
        <is>
          <t>the bandits keep going after you, not them.</t>
        </is>
      </c>
      <c r="E73" s="7" t="n"/>
      <c r="F73" s="7" t="n"/>
    </row>
    <row r="74" ht="19" customHeight="1">
      <c r="A74" s="15" t="inlineStr">
        <is>
          <t>N-13</t>
        </is>
      </c>
      <c r="B74" s="15" t="n">
        <v>6</v>
      </c>
      <c r="C74" s="15" t="inlineStr">
        <is>
          <t>Clear all three waves</t>
        </is>
      </c>
      <c r="D74" s="15" t="inlineStr">
        <is>
          <t>you get a private end line.</t>
        </is>
      </c>
      <c r="E74" s="7" t="n"/>
      <c r="F74" s="7" t="n"/>
    </row>
    <row r="75" ht="21" customHeight="1">
      <c r="A75" s="18" t="inlineStr">
        <is>
          <t>N-14 — Zombie apocalypse: a two-hour outbreak the server has to survive</t>
        </is>
      </c>
    </row>
    <row r="76" ht="34" customHeight="1">
      <c r="A76" s="15" t="inlineStr">
        <is>
          <t>N-14</t>
        </is>
      </c>
      <c r="B76" s="15" t="n">
        <v>1</v>
      </c>
      <c r="C76" s="15" t="inlineStr">
        <is>
          <t>Type .nyar template use zombie-apocalypse and .nyar event set zombie-apocalypse durationSeconds 7200.</t>
        </is>
      </c>
      <c r="D76" s="15" t="inlineStr"/>
      <c r="E76" s="7" t="n"/>
      <c r="F76" s="7" t="n"/>
    </row>
    <row r="77" ht="64" customHeight="1">
      <c r="A77" s="15" t="inlineStr">
        <is>
          <t>N-14</t>
        </is>
      </c>
      <c r="B77" s="15" t="n">
        <v>2</v>
      </c>
      <c r="C77" s="15" t="inlineStr">
        <is>
          <t>Walk to the place to defend and type .nyar event set zombie-apocalypse action.goal here, then .nyar event set zombie-apocalypse action.goal.name Crossroads, then .nyar event enable zombie-apocalypse</t>
        </is>
      </c>
      <c r="D77" s="15" t="inlineStr">
        <is>
          <t>each confirms.</t>
        </is>
      </c>
      <c r="E77" s="7" t="n"/>
      <c r="F77" s="7" t="n"/>
    </row>
    <row r="78" ht="49" customHeight="1">
      <c r="A78" s="15" t="inlineStr">
        <is>
          <t>N-14</t>
        </is>
      </c>
      <c r="B78" s="15" t="n">
        <v>3</v>
      </c>
      <c r="C78" s="15" t="inlineStr">
        <is>
          <t>When everyone is ready, type .nyar event start zombie-apocalypse from anywhere</t>
        </is>
      </c>
      <c r="D78" s="15" t="inlineStr">
        <is>
          <t>chat says the dead rise; .nyar event info zombie-apocalypse lists three hotspots and the defended place.</t>
        </is>
      </c>
      <c r="E78" s="7" t="n"/>
      <c r="F78" s="7" t="n"/>
    </row>
    <row r="79" ht="34" customHeight="1">
      <c r="A79" s="15" t="inlineStr">
        <is>
          <t>N-14</t>
        </is>
      </c>
      <c r="B79" s="15" t="n">
        <v>4</v>
      </c>
      <c r="C79" s="15" t="inlineStr">
        <is>
          <t>Players spread out over the map</t>
        </is>
      </c>
      <c r="D79" s="15" t="inlineStr">
        <is>
          <t>within a few minutes roamers find players far from the defended place.</t>
        </is>
      </c>
      <c r="E79" s="7" t="n"/>
      <c r="F79" s="7" t="n"/>
    </row>
    <row r="80" ht="34" customHeight="1">
      <c r="A80" s="15" t="inlineStr">
        <is>
          <t>N-14</t>
        </is>
      </c>
      <c r="B80" s="15" t="n">
        <v>5</v>
      </c>
      <c r="C80" s="15" t="inlineStr">
        <is>
          <t>After 10 minutes, then every 30</t>
        </is>
      </c>
      <c r="D80" s="15" t="inlineStr">
        <is>
          <t>chat announces each horde rising and its march towards the place.</t>
        </is>
      </c>
      <c r="E80" s="7" t="n"/>
      <c r="F80" s="7" t="n"/>
    </row>
    <row r="81" ht="49" customHeight="1">
      <c r="A81" s="15" t="inlineStr">
        <is>
          <t>N-14</t>
        </is>
      </c>
      <c r="B81" s="15" t="n">
        <v>6</v>
      </c>
      <c r="C81" s="15" t="inlineStr">
        <is>
          <t>Hold the place, or stand in a horde's path</t>
        </is>
      </c>
      <c r="D81" s="15" t="inlineStr">
        <is>
          <t>it stops to fight while you hold within about 60 m of it. Play it out -&gt; chat shows the outcome (won, lost or survived) and the scoreboard.</t>
        </is>
      </c>
      <c r="E81" s="7" t="n"/>
      <c r="F81" s="7" t="n"/>
    </row>
    <row r="82" ht="21" customHeight="1">
      <c r="A82" s="18" t="inlineStr">
        <is>
          <t>N-15 — A monster that cannot reach you is moved, and a wave never hangs</t>
        </is>
      </c>
    </row>
    <row r="83" ht="49" customHeight="1">
      <c r="A83" s="15" t="inlineStr">
        <is>
          <t>N-15</t>
        </is>
      </c>
      <c r="B83" s="15" t="n">
        <v>1</v>
      </c>
      <c r="C83" s="15" t="inlineStr">
        <is>
          <t>Stand at the foot of the rock. Type .nyar template use spider-swarm as stuck-test, .nyar event enable stuck-test, .nyar event start stuck-test.</t>
        </is>
      </c>
      <c r="D83" s="15" t="inlineStr"/>
      <c r="E83" s="7" t="n"/>
      <c r="F83" s="7" t="n"/>
    </row>
    <row r="84" ht="34" customHeight="1">
      <c r="A84" s="15" t="inlineStr">
        <is>
          <t>N-15</t>
        </is>
      </c>
      <c r="B84" s="15" t="n">
        <v>2</v>
      </c>
      <c r="C84" s="15" t="inlineStr">
        <is>
          <t>As soon as spiders appear, climb onto the rock and stay within about 20 m of them without attacking.</t>
        </is>
      </c>
      <c r="D84" s="15" t="inlineStr"/>
      <c r="E84" s="7" t="n"/>
      <c r="F84" s="7" t="n"/>
    </row>
    <row r="85" ht="34" customHeight="1">
      <c r="A85" s="15" t="inlineStr">
        <is>
          <t>N-15</t>
        </is>
      </c>
      <c r="B85" s="15" t="n">
        <v>3</v>
      </c>
      <c r="C85" s="15" t="inlineStr">
        <is>
          <t>Wait about 2 minutes</t>
        </is>
      </c>
      <c r="D85" s="15" t="inlineStr">
        <is>
          <t>type .nyar event info stuck-test: the unit watch line reads 'stuck now' above 0.</t>
        </is>
      </c>
      <c r="E85" s="7" t="n"/>
      <c r="F85" s="7" t="n"/>
    </row>
    <row r="86" ht="34" customHeight="1">
      <c r="A86" s="15" t="inlineStr">
        <is>
          <t>N-15</t>
        </is>
      </c>
      <c r="B86" s="15" t="n">
        <v>4</v>
      </c>
      <c r="C86" s="15" t="inlineStr">
        <is>
          <t>Walk 150 m away for a minute, then come back</t>
        </is>
      </c>
      <c r="D86" s="15" t="inlineStr">
        <is>
          <t>the stuck spiders are no longer at the foot of the rock.</t>
        </is>
      </c>
      <c r="E86" s="7" t="n"/>
      <c r="F86" s="7" t="n"/>
    </row>
    <row r="87" ht="19" customHeight="1">
      <c r="A87" s="15" t="inlineStr">
        <is>
          <t>N-15</t>
        </is>
      </c>
      <c r="B87" s="15" t="n">
        <v>5</v>
      </c>
      <c r="C87" s="15" t="inlineStr">
        <is>
          <t>While watching any spider</t>
        </is>
      </c>
      <c r="D87" s="15" t="inlineStr">
        <is>
          <t>none vanishes or appears in front of you.</t>
        </is>
      </c>
      <c r="E87" s="7" t="n"/>
      <c r="F87" s="7" t="n"/>
    </row>
    <row r="88" ht="21" customHeight="1">
      <c r="A88" s="18" t="inlineStr">
        <is>
          <t>N-16 — Castles stay safe: no spawns or jumps inside claimed territory</t>
        </is>
      </c>
    </row>
    <row r="89" ht="49" customHeight="1">
      <c r="A89" s="15" t="inlineStr">
        <is>
          <t>N-16</t>
        </is>
      </c>
      <c r="B89" s="15" t="n">
        <v>1</v>
      </c>
      <c r="C89" s="15" t="inlineStr">
        <is>
          <t>Stand inside your castle territory with nobody else online outside one. Type .nyar event start graveyard-waves (set up in N-06)</t>
        </is>
      </c>
      <c r="D89" s="15" t="inlineStr">
        <is>
          <t>no skeletons come for you: a player in their castle is never picked.</t>
        </is>
      </c>
      <c r="E89" s="7" t="n"/>
      <c r="F89" s="7" t="n"/>
    </row>
    <row r="90" ht="34" customHeight="1">
      <c r="A90" s="15" t="inlineStr">
        <is>
          <t>N-16</t>
        </is>
      </c>
      <c r="B90" s="15" t="n">
        <v>2</v>
      </c>
      <c r="C90" s="15" t="inlineStr">
        <is>
          <t>Start roaming-hunters (N-07) while one player is in their castle and one outside</t>
        </is>
      </c>
      <c r="D90" s="15" t="inlineStr">
        <is>
          <t>only the outside player gets a squad.</t>
        </is>
      </c>
      <c r="E90" s="7" t="n"/>
      <c r="F90" s="7" t="n"/>
    </row>
    <row r="91" ht="19" customHeight="1">
      <c r="A91" s="15" t="inlineStr">
        <is>
          <t>N-16</t>
        </is>
      </c>
      <c r="B91" s="15" t="n">
        <v>3</v>
      </c>
      <c r="C91" s="15" t="inlineStr">
        <is>
          <t>During the apocalypse (N-14), shelter in the castle</t>
        </is>
      </c>
      <c r="D91" s="15" t="inlineStr">
        <is>
          <t>roamers do not appear inside it.</t>
        </is>
      </c>
      <c r="E91" s="7" t="n"/>
      <c r="F91" s="7" t="n"/>
    </row>
    <row r="92" ht="21" customHeight="1">
      <c r="A92" s="18" t="inlineStr">
        <is>
          <t>N-17 — Stopping things: event stop, switching a kind off, and the emergency stop</t>
        </is>
      </c>
    </row>
    <row r="93" ht="49" customHeight="1">
      <c r="A93" s="15" t="inlineStr">
        <is>
          <t>N-17</t>
        </is>
      </c>
      <c r="B93" s="15" t="n">
        <v>1</v>
      </c>
      <c r="C93" s="15" t="inlineStr">
        <is>
          <t>Start graveyard-waves, then type .nyar event stop graveyard-waves</t>
        </is>
      </c>
      <c r="D93" s="15" t="inlineStr">
        <is>
          <t>the scoreboard shows; the skeletons disappear within about a minute; .nyar status reads 'tracked units: 0'.</t>
        </is>
      </c>
      <c r="E93" s="7" t="n"/>
      <c r="F93" s="7" t="n"/>
    </row>
    <row r="94" ht="19" customHeight="1">
      <c r="A94" s="15" t="inlineStr">
        <is>
          <t>N-17</t>
        </is>
      </c>
      <c r="B94" s="15" t="n">
        <v>2</v>
      </c>
      <c r="C94" s="15" t="inlineStr">
        <is>
          <t>Start bandit-ambush, then type .nyar pillar spawns off</t>
        </is>
      </c>
      <c r="D94" s="15" t="inlineStr">
        <is>
          <t>the ambush ends and its bandits disappear.</t>
        </is>
      </c>
      <c r="E94" s="7" t="n"/>
      <c r="F94" s="7" t="n"/>
    </row>
    <row r="95" ht="34" customHeight="1">
      <c r="A95" s="15" t="inlineStr">
        <is>
          <t>N-17</t>
        </is>
      </c>
      <c r="B95" s="15" t="n">
        <v>3</v>
      </c>
      <c r="C95" s="15" t="inlineStr">
        <is>
          <t>Type .nyar pillar spawns on, start two spawn events, then type .nyar purge and .nyar purge confirm</t>
        </is>
      </c>
      <c r="D95" s="15" t="inlineStr">
        <is>
          <t>everything ends and every spawned monster is gone within a minute; nothing is shown in chat.</t>
        </is>
      </c>
      <c r="E95" s="7" t="n"/>
      <c r="F95" s="7" t="n"/>
    </row>
    <row r="96" ht="19" customHeight="1">
      <c r="A96" s="15" t="inlineStr">
        <is>
          <t>N-17</t>
        </is>
      </c>
      <c r="B96" s="15" t="n">
        <v>4</v>
      </c>
      <c r="C96" s="15" t="inlineStr">
        <is>
          <t>Try .nyar event start bandit-ambush right after</t>
        </is>
      </c>
      <c r="D96" s="15" t="inlineStr">
        <is>
          <t>it is refused for about 4 minutes.</t>
        </is>
      </c>
      <c r="E96" s="7" t="n"/>
      <c r="F96" s="7" t="n"/>
    </row>
    <row r="97" ht="21" customHeight="1">
      <c r="A97" s="18" t="inlineStr">
        <is>
          <t>N-18 — Timed waves at a muster point: the next wave comes whether you are ready or not</t>
        </is>
      </c>
    </row>
    <row r="98" ht="49" customHeight="1">
      <c r="A98" s="15" t="inlineStr">
        <is>
          <t>N-18</t>
        </is>
      </c>
      <c r="B98" s="15" t="n">
        <v>1</v>
      </c>
      <c r="C98" s="15" t="inlineStr">
        <is>
          <t>Type .nyar template use militia-muster-timed. At an open spot in Dunley Farmlands type .nyar event set militia-muster-timed location here</t>
        </is>
      </c>
      <c r="D98" s="15" t="inlineStr">
        <is>
          <t>it confirms.</t>
        </is>
      </c>
      <c r="E98" s="7" t="n"/>
      <c r="F98" s="7" t="n"/>
    </row>
    <row r="99" ht="49" customHeight="1">
      <c r="A99" s="15" t="inlineStr">
        <is>
          <t>N-18</t>
        </is>
      </c>
      <c r="B99" s="15" t="n">
        <v>2</v>
      </c>
      <c r="C99" s="15" t="inlineStr">
        <is>
          <t>Give it a time limit: .nyar event set militia-muster-timed durationSeconds 900 (15 minutes), then .nyar event enable militia-muster-timed.</t>
        </is>
      </c>
      <c r="D99" s="15" t="inlineStr"/>
      <c r="E99" s="7" t="n"/>
      <c r="F99" s="7" t="n"/>
    </row>
    <row r="100" ht="34" customHeight="1">
      <c r="A100" s="15" t="inlineStr">
        <is>
          <t>N-18</t>
        </is>
      </c>
      <c r="B100" s="15" t="n">
        <v>3</v>
      </c>
      <c r="C100" s="15" t="inlineStr">
        <is>
          <t>With the players at the spot, type .nyar event start militia-muster-timed</t>
        </is>
      </c>
      <c r="D100" s="15" t="inlineStr">
        <is>
          <t>wave 1 (6 militia) appears there.</t>
        </is>
      </c>
      <c r="E100" s="7" t="n"/>
      <c r="F100" s="7" t="n"/>
    </row>
    <row r="101" ht="34" customHeight="1">
      <c r="A101" s="15" t="inlineStr">
        <is>
          <t>N-18</t>
        </is>
      </c>
      <c r="B101" s="15" t="n">
        <v>4</v>
      </c>
      <c r="C101" s="15" t="inlineStr">
        <is>
          <t>Hold back</t>
        </is>
      </c>
      <c r="D101" s="15" t="inlineStr">
        <is>
          <t>about 75 seconds after the start, wave 2 (9 militia) arrives while wave 1 is still alive.</t>
        </is>
      </c>
      <c r="E101" s="7" t="n"/>
      <c r="F101" s="7" t="n"/>
    </row>
    <row r="102" ht="64" customHeight="1">
      <c r="A102" s="15" t="inlineStr">
        <is>
          <t>N-18</t>
        </is>
      </c>
      <c r="B102" s="15" t="n">
        <v>5</v>
      </c>
      <c r="C102" s="15" t="inlineStr">
        <is>
          <t>Fight on</t>
        </is>
      </c>
      <c r="D102" s="15" t="inlineStr">
        <is>
          <t>a new wave every 75 seconds; wave 5 brings the militia leader; the scoreboard names a winner. If you are still fighting at 15 minutes, the event ends.</t>
        </is>
      </c>
      <c r="E102" s="7" t="n"/>
      <c r="F102" s="7" t="n"/>
    </row>
    <row r="103" ht="21" customHeight="1">
      <c r="A103" s="18" t="inlineStr">
        <is>
          <t>N-19 — Onslaught: random waves, surprise bosses, and no running away</t>
        </is>
      </c>
    </row>
    <row r="104" ht="49" customHeight="1">
      <c r="A104" s="15" t="inlineStr">
        <is>
          <t>N-19</t>
        </is>
      </c>
      <c r="B104" s="15" t="n">
        <v>1</v>
      </c>
      <c r="C104" s="15" t="inlineStr">
        <is>
          <t>Type .nyar template use undead-onslaught. At an open spot near a graveyard type .nyar event set undead-onslaught location here.</t>
        </is>
      </c>
      <c r="D104" s="15" t="inlineStr"/>
      <c r="E104" s="7" t="n"/>
      <c r="F104" s="7" t="n"/>
    </row>
    <row r="105" ht="64" customHeight="1">
      <c r="A105" s="15" t="inlineStr">
        <is>
          <t>N-19</t>
        </is>
      </c>
      <c r="B105" s="15" t="n">
        <v>2</v>
      </c>
      <c r="C105" s="15" t="inlineStr">
        <is>
          <t>Set how long they wait before giving chase: .nyar event set undead-onslaught action.pursuit 90, then .nyar event enable undead-onslaught and .nyar event start undead-onslaught</t>
        </is>
      </c>
      <c r="D105" s="15" t="inlineStr">
        <is>
          <t>about 12 undead appear at the spot.</t>
        </is>
      </c>
      <c r="E105" s="7" t="n"/>
      <c r="F105" s="7" t="n"/>
    </row>
    <row r="106" ht="34" customHeight="1">
      <c r="A106" s="15" t="inlineStr">
        <is>
          <t>N-19</t>
        </is>
      </c>
      <c r="B106" s="15" t="n">
        <v>3</v>
      </c>
      <c r="C106" s="15" t="inlineStr">
        <is>
          <t>Clear wave 1 or wait 75 seconds</t>
        </is>
      </c>
      <c r="D106" s="15" t="inlineStr">
        <is>
          <t>wave 2 brings different undead and one V Blood boss.</t>
        </is>
      </c>
      <c r="E106" s="7" t="n"/>
      <c r="F106" s="7" t="n"/>
    </row>
    <row r="107" ht="64" customHeight="1">
      <c r="A107" s="15" t="inlineStr">
        <is>
          <t>N-19</t>
        </is>
      </c>
      <c r="B107" s="15" t="n">
        <v>4</v>
      </c>
      <c r="C107" s="15" t="inlineStr">
        <is>
          <t>Both players run more than 60 m away and wait</t>
        </is>
      </c>
      <c r="D107" s="15" t="inlineStr">
        <is>
          <t>about 90 seconds later the undead come after the nearest of you, arriving near you rather than on top of you. Go into your castle's territory -&gt; they do not follow you in.</t>
        </is>
      </c>
      <c r="E107" s="7" t="n"/>
      <c r="F107" s="7" t="n"/>
    </row>
    <row r="108" ht="34" customHeight="1">
      <c r="A108" s="15" t="inlineStr">
        <is>
          <t>N-19</t>
        </is>
      </c>
      <c r="B108" s="15" t="n">
        <v>5</v>
      </c>
      <c r="C108" s="15" t="inlineStr">
        <is>
          <t>Stop it (.nyar event stop undead-onslaught) and start it again</t>
        </is>
      </c>
      <c r="D108" s="15" t="inlineStr">
        <is>
          <t>the waves and bosses are different.</t>
        </is>
      </c>
      <c r="E108" s="7" t="n"/>
      <c r="F108" s="7" t="n"/>
    </row>
    <row r="109" ht="21" customHeight="1">
      <c r="A109" s="18" t="inlineStr">
        <is>
          <t>E-01 — Build your own event from chat, the way a new admin would</t>
        </is>
      </c>
    </row>
    <row r="110" ht="19" customHeight="1">
      <c r="A110" s="15" t="inlineStr">
        <is>
          <t>E-01</t>
        </is>
      </c>
      <c r="B110" s="15" t="n">
        <v>1</v>
      </c>
      <c r="C110" s="15" t="inlineStr">
        <is>
          <t>Type .nyar event new my-event spawns</t>
        </is>
      </c>
      <c r="D110" s="15" t="inlineStr">
        <is>
          <t>a switched-off event is created.</t>
        </is>
      </c>
      <c r="E110" s="7" t="n"/>
      <c r="F110" s="7" t="n"/>
    </row>
    <row r="111" ht="49" customHeight="1">
      <c r="A111" s="15" t="inlineStr">
        <is>
          <t>E-01</t>
        </is>
      </c>
      <c r="B111" s="15" t="n">
        <v>2</v>
      </c>
      <c r="C111" s="15" t="inlineStr">
        <is>
          <t>Use .nyar event set my-event ... to choose units (action.units, e.g. CHAR_Forest_Wolf:4), waves, the location (location here) and a level (action.modifiers.level 30).</t>
        </is>
      </c>
      <c r="D111" s="15" t="inlineStr"/>
      <c r="E111" s="7" t="n"/>
      <c r="F111" s="7" t="n"/>
    </row>
    <row r="112" ht="19" customHeight="1">
      <c r="A112" s="15" t="inlineStr">
        <is>
          <t>E-01</t>
        </is>
      </c>
      <c r="B112" s="15" t="n">
        <v>3</v>
      </c>
      <c r="C112" s="15" t="inlineStr">
        <is>
          <t>Type .nyar event info my-event, then enable and start it</t>
        </is>
      </c>
      <c r="D112" s="15" t="inlineStr">
        <is>
          <t>it runs as you set it.</t>
        </is>
      </c>
      <c r="E112" s="7" t="n"/>
      <c r="F112" s="7" t="n"/>
    </row>
    <row r="113" ht="19" customHeight="1">
      <c r="A113" s="15" t="inlineStr">
        <is>
          <t>E-01</t>
        </is>
      </c>
      <c r="B113" s="15" t="n">
        <v>4</v>
      </c>
      <c r="C113" s="15" t="inlineStr">
        <is>
          <t>Note every reply that confused you, word for word.</t>
        </is>
      </c>
      <c r="D113" s="15" t="inlineStr"/>
      <c r="E113" s="7" t="n"/>
      <c r="F113" s="7" t="n"/>
    </row>
    <row r="114" ht="21" customHeight="1">
      <c r="A114" s="18" t="inlineStr">
        <is>
          <t>E-02 — A second player joins someone else's fight</t>
        </is>
      </c>
    </row>
    <row r="115" ht="19" customHeight="1">
      <c r="A115" s="15" t="inlineStr">
        <is>
          <t>E-02</t>
        </is>
      </c>
      <c r="B115" s="15" t="n">
        <v>1</v>
      </c>
      <c r="C115" s="15" t="inlineStr">
        <is>
          <t>Player one triggers N-08 or N-13</t>
        </is>
      </c>
      <c r="D115" s="15" t="inlineStr">
        <is>
          <t>monsters hunt player one.</t>
        </is>
      </c>
      <c r="E115" s="7" t="n"/>
      <c r="F115" s="7" t="n"/>
    </row>
    <row r="116" ht="19" customHeight="1">
      <c r="A116" s="15" t="inlineStr">
        <is>
          <t>E-02</t>
        </is>
      </c>
      <c r="B116" s="15" t="n">
        <v>2</v>
      </c>
      <c r="C116" s="15" t="inlineStr">
        <is>
          <t>Player two joins the fight and attacks the monsters</t>
        </is>
      </c>
      <c r="D116" s="15" t="inlineStr">
        <is>
          <t>note who they turn on, and who gets kill credit.</t>
        </is>
      </c>
      <c r="E116" s="7" t="n"/>
      <c r="F116" s="7" t="n"/>
    </row>
    <row r="117" ht="21" customHeight="1">
      <c r="A117" s="18" t="inlineStr">
        <is>
          <t>C-01 — Measurement: how the server feels during the busiest event</t>
        </is>
      </c>
    </row>
    <row r="118" ht="49" customHeight="1">
      <c r="A118" s="15" t="inlineStr">
        <is>
          <t>C-01</t>
        </is>
      </c>
      <c r="B118" s="15" t="n">
        <v>1</v>
      </c>
      <c r="C118" s="15" t="inlineStr">
        <is>
          <t>At the start, at each horde rise and at the end, note how responsive the game feels (fine, slight lag, bad lag) and the time.</t>
        </is>
      </c>
      <c r="D118" s="15" t="inlineStr"/>
      <c r="E118" s="7" t="n"/>
      <c r="F118" s="7" t="n"/>
    </row>
    <row r="119" ht="34" customHeight="1">
      <c r="A119" s="15" t="inlineStr">
        <is>
          <t>C-01</t>
        </is>
      </c>
      <c r="B119" s="15" t="n">
        <v>2</v>
      </c>
      <c r="C119" s="15" t="inlineStr">
        <is>
          <t>If something felt bad, write what you were doing and how many monsters were around.</t>
        </is>
      </c>
      <c r="D119" s="15" t="inlineStr"/>
      <c r="E119" s="7" t="n"/>
      <c r="F119" s="7" t="n"/>
    </row>
  </sheetData>
  <autoFilter ref="A1:F119"/>
  <mergeCells count="22">
    <mergeCell ref="A41:F41"/>
    <mergeCell ref="A46:F46"/>
    <mergeCell ref="A75:F75"/>
    <mergeCell ref="A57:F57"/>
    <mergeCell ref="A2:F2"/>
    <mergeCell ref="A97:F97"/>
    <mergeCell ref="A109:F109"/>
    <mergeCell ref="A63:F63"/>
    <mergeCell ref="A13:F13"/>
    <mergeCell ref="A19:F19"/>
    <mergeCell ref="A68:F68"/>
    <mergeCell ref="A117:F117"/>
    <mergeCell ref="A92:F92"/>
    <mergeCell ref="A30:F30"/>
    <mergeCell ref="A114:F114"/>
    <mergeCell ref="A24:F24"/>
    <mergeCell ref="A51:F51"/>
    <mergeCell ref="A82:F82"/>
    <mergeCell ref="A36:F36"/>
    <mergeCell ref="A103:F103"/>
    <mergeCell ref="A88:F88"/>
    <mergeCell ref="A7:F7"/>
  </mergeCells>
  <conditionalFormatting sqref="E2:E119">
    <cfRule type="expression" priority="1" dxfId="0">
      <formula>E2="OK"</formula>
    </cfRule>
    <cfRule type="expression" priority="2" dxfId="2">
      <formula>E2="Problem"</formula>
    </cfRule>
    <cfRule type="expression" priority="3" dxfId="3">
      <formula>E2="Skipped"</formula>
    </cfRule>
  </conditionalFormatting>
  <dataValidations count="1">
    <dataValidation sqref="E2:E119" showDropDown="0" showInputMessage="0" showErrorMessage="0" allowBlank="1" type="list">
      <formula1>"OK,Problem,Skipped"</formula1>
    </dataValidation>
  </dataValidations>
  <pageMargins left="0.75" right="0.75" top="1" bottom="1" header="0.5" footer="0.5"/>
</worksheet>
</file>

<file path=xl/worksheets/sheet6.xml><?xml version="1.0" encoding="utf-8"?>
<worksheet xmlns="http://schemas.openxmlformats.org/spreadsheetml/2006/main">
  <sheetPr>
    <tabColor rgb="00B91C1C"/>
    <outlinePr summaryBelow="1" summaryRight="1"/>
    <pageSetUpPr/>
  </sheetPr>
  <dimension ref="A1:H24"/>
  <sheetViews>
    <sheetView workbookViewId="0">
      <pane ySplit="2" topLeftCell="A3" activePane="bottomLeft" state="frozen"/>
      <selection pane="bottomLeft" activeCell="A1" sqref="A1"/>
    </sheetView>
  </sheetViews>
  <sheetFormatPr baseColWidth="8" defaultRowHeight="15"/>
  <cols>
    <col width="40" customWidth="1" min="1" max="1"/>
    <col width="20" customWidth="1" min="2" max="2"/>
    <col width="40" customWidth="1" min="3" max="3"/>
    <col width="30" customWidth="1" min="4" max="4"/>
    <col width="30" customWidth="1" min="5" max="5"/>
    <col width="14" customWidth="1" min="6" max="6"/>
    <col width="20" customWidth="1" min="7" max="7"/>
    <col width="12" customWidth="1" min="8" max="8"/>
  </cols>
  <sheetData>
    <row r="1" ht="19" customHeight="1">
      <c r="A1" s="2" t="inlineStr">
        <is>
          <t>Anything you notice that is not on the other sheets. Small things are welcome — a line in chat that reads wrong, a monster in an odd place, a moment of lag. If you are not sure it is a fault, put it here anyway.</t>
        </is>
      </c>
    </row>
    <row r="2" ht="32" customHeight="1">
      <c r="A2" s="13" t="inlineStr">
        <is>
          <t>What happened</t>
        </is>
      </c>
      <c r="B2" s="13" t="inlineStr">
        <is>
          <t>Where (region or place)</t>
        </is>
      </c>
      <c r="C2" s="13" t="inlineStr">
        <is>
          <t>Steps you took</t>
        </is>
      </c>
      <c r="D2" s="13" t="inlineStr">
        <is>
          <t>What you expected</t>
        </is>
      </c>
      <c r="E2" s="13" t="inlineStr">
        <is>
          <t>What you got instead</t>
        </is>
      </c>
      <c r="F2" s="13" t="inlineStr">
        <is>
          <t>How bad</t>
        </is>
      </c>
      <c r="G2" s="13" t="inlineStr">
        <is>
          <t>PC / connection</t>
        </is>
      </c>
      <c r="H2" s="13" t="inlineStr">
        <is>
          <t>Date</t>
        </is>
      </c>
    </row>
    <row r="3">
      <c r="A3" s="17" t="n"/>
      <c r="B3" s="17" t="n"/>
      <c r="C3" s="17" t="n"/>
      <c r="D3" s="17" t="n"/>
      <c r="E3" s="17" t="n"/>
      <c r="F3" s="17" t="n"/>
      <c r="G3" s="17" t="n"/>
      <c r="H3" s="17" t="n"/>
    </row>
    <row r="4">
      <c r="A4" s="17" t="n"/>
      <c r="B4" s="17" t="n"/>
      <c r="C4" s="17" t="n"/>
      <c r="D4" s="17" t="n"/>
      <c r="E4" s="17" t="n"/>
      <c r="F4" s="17" t="n"/>
      <c r="G4" s="17" t="n"/>
      <c r="H4" s="17" t="n"/>
    </row>
    <row r="5">
      <c r="A5" s="17" t="n"/>
      <c r="B5" s="17" t="n"/>
      <c r="C5" s="17" t="n"/>
      <c r="D5" s="17" t="n"/>
      <c r="E5" s="17" t="n"/>
      <c r="F5" s="17" t="n"/>
      <c r="G5" s="17" t="n"/>
      <c r="H5" s="17" t="n"/>
    </row>
    <row r="6">
      <c r="A6" s="17" t="n"/>
      <c r="B6" s="17" t="n"/>
      <c r="C6" s="17" t="n"/>
      <c r="D6" s="17" t="n"/>
      <c r="E6" s="17" t="n"/>
      <c r="F6" s="17" t="n"/>
      <c r="G6" s="17" t="n"/>
      <c r="H6" s="17" t="n"/>
    </row>
    <row r="7">
      <c r="A7" s="17" t="n"/>
      <c r="B7" s="17" t="n"/>
      <c r="C7" s="17" t="n"/>
      <c r="D7" s="17" t="n"/>
      <c r="E7" s="17" t="n"/>
      <c r="F7" s="17" t="n"/>
      <c r="G7" s="17" t="n"/>
      <c r="H7" s="17" t="n"/>
    </row>
    <row r="8">
      <c r="A8" s="17" t="n"/>
      <c r="B8" s="17" t="n"/>
      <c r="C8" s="17" t="n"/>
      <c r="D8" s="17" t="n"/>
      <c r="E8" s="17" t="n"/>
      <c r="F8" s="17" t="n"/>
      <c r="G8" s="17" t="n"/>
      <c r="H8" s="17" t="n"/>
    </row>
    <row r="9">
      <c r="A9" s="17" t="n"/>
      <c r="B9" s="17" t="n"/>
      <c r="C9" s="17" t="n"/>
      <c r="D9" s="17" t="n"/>
      <c r="E9" s="17" t="n"/>
      <c r="F9" s="17" t="n"/>
      <c r="G9" s="17" t="n"/>
      <c r="H9" s="17" t="n"/>
    </row>
    <row r="10">
      <c r="A10" s="17" t="n"/>
      <c r="B10" s="17" t="n"/>
      <c r="C10" s="17" t="n"/>
      <c r="D10" s="17" t="n"/>
      <c r="E10" s="17" t="n"/>
      <c r="F10" s="17" t="n"/>
      <c r="G10" s="17" t="n"/>
      <c r="H10" s="17" t="n"/>
    </row>
    <row r="11">
      <c r="A11" s="17" t="n"/>
      <c r="B11" s="17" t="n"/>
      <c r="C11" s="17" t="n"/>
      <c r="D11" s="17" t="n"/>
      <c r="E11" s="17" t="n"/>
      <c r="F11" s="17" t="n"/>
      <c r="G11" s="17" t="n"/>
      <c r="H11" s="17" t="n"/>
    </row>
    <row r="12">
      <c r="A12" s="17" t="n"/>
      <c r="B12" s="17" t="n"/>
      <c r="C12" s="17" t="n"/>
      <c r="D12" s="17" t="n"/>
      <c r="E12" s="17" t="n"/>
      <c r="F12" s="17" t="n"/>
      <c r="G12" s="17" t="n"/>
      <c r="H12" s="17" t="n"/>
    </row>
    <row r="13">
      <c r="A13" s="17" t="n"/>
      <c r="B13" s="17" t="n"/>
      <c r="C13" s="17" t="n"/>
      <c r="D13" s="17" t="n"/>
      <c r="E13" s="17" t="n"/>
      <c r="F13" s="17" t="n"/>
      <c r="G13" s="17" t="n"/>
      <c r="H13" s="17" t="n"/>
    </row>
    <row r="14">
      <c r="A14" s="17" t="n"/>
      <c r="B14" s="17" t="n"/>
      <c r="C14" s="17" t="n"/>
      <c r="D14" s="17" t="n"/>
      <c r="E14" s="17" t="n"/>
      <c r="F14" s="17" t="n"/>
      <c r="G14" s="17" t="n"/>
      <c r="H14" s="17" t="n"/>
    </row>
    <row r="15">
      <c r="A15" s="17" t="n"/>
      <c r="B15" s="17" t="n"/>
      <c r="C15" s="17" t="n"/>
      <c r="D15" s="17" t="n"/>
      <c r="E15" s="17" t="n"/>
      <c r="F15" s="17" t="n"/>
      <c r="G15" s="17" t="n"/>
      <c r="H15" s="17" t="n"/>
    </row>
    <row r="16">
      <c r="A16" s="17" t="n"/>
      <c r="B16" s="17" t="n"/>
      <c r="C16" s="17" t="n"/>
      <c r="D16" s="17" t="n"/>
      <c r="E16" s="17" t="n"/>
      <c r="F16" s="17" t="n"/>
      <c r="G16" s="17" t="n"/>
      <c r="H16" s="17" t="n"/>
    </row>
    <row r="17">
      <c r="A17" s="17" t="n"/>
      <c r="B17" s="17" t="n"/>
      <c r="C17" s="17" t="n"/>
      <c r="D17" s="17" t="n"/>
      <c r="E17" s="17" t="n"/>
      <c r="F17" s="17" t="n"/>
      <c r="G17" s="17" t="n"/>
      <c r="H17" s="17" t="n"/>
    </row>
    <row r="18">
      <c r="A18" s="17" t="n"/>
      <c r="B18" s="17" t="n"/>
      <c r="C18" s="17" t="n"/>
      <c r="D18" s="17" t="n"/>
      <c r="E18" s="17" t="n"/>
      <c r="F18" s="17" t="n"/>
      <c r="G18" s="17" t="n"/>
      <c r="H18" s="17" t="n"/>
    </row>
    <row r="19">
      <c r="A19" s="17" t="n"/>
      <c r="B19" s="17" t="n"/>
      <c r="C19" s="17" t="n"/>
      <c r="D19" s="17" t="n"/>
      <c r="E19" s="17" t="n"/>
      <c r="F19" s="17" t="n"/>
      <c r="G19" s="17" t="n"/>
      <c r="H19" s="17" t="n"/>
    </row>
    <row r="20">
      <c r="A20" s="17" t="n"/>
      <c r="B20" s="17" t="n"/>
      <c r="C20" s="17" t="n"/>
      <c r="D20" s="17" t="n"/>
      <c r="E20" s="17" t="n"/>
      <c r="F20" s="17" t="n"/>
      <c r="G20" s="17" t="n"/>
      <c r="H20" s="17" t="n"/>
    </row>
    <row r="21">
      <c r="A21" s="17" t="n"/>
      <c r="B21" s="17" t="n"/>
      <c r="C21" s="17" t="n"/>
      <c r="D21" s="17" t="n"/>
      <c r="E21" s="17" t="n"/>
      <c r="F21" s="17" t="n"/>
      <c r="G21" s="17" t="n"/>
      <c r="H21" s="17" t="n"/>
    </row>
    <row r="22">
      <c r="A22" s="17" t="n"/>
      <c r="B22" s="17" t="n"/>
      <c r="C22" s="17" t="n"/>
      <c r="D22" s="17" t="n"/>
      <c r="E22" s="17" t="n"/>
      <c r="F22" s="17" t="n"/>
      <c r="G22" s="17" t="n"/>
      <c r="H22" s="17" t="n"/>
    </row>
    <row r="23">
      <c r="A23" s="17" t="n"/>
      <c r="B23" s="17" t="n"/>
      <c r="C23" s="17" t="n"/>
      <c r="D23" s="17" t="n"/>
      <c r="E23" s="17" t="n"/>
      <c r="F23" s="17" t="n"/>
      <c r="G23" s="17" t="n"/>
      <c r="H23" s="17" t="n"/>
    </row>
    <row r="24">
      <c r="A24" s="17" t="n"/>
      <c r="B24" s="17" t="n"/>
      <c r="C24" s="17" t="n"/>
      <c r="D24" s="17" t="n"/>
      <c r="E24" s="17" t="n"/>
      <c r="F24" s="17" t="n"/>
      <c r="G24" s="17" t="n"/>
      <c r="H24" s="17" t="n"/>
    </row>
  </sheetData>
  <mergeCells count="1">
    <mergeCell ref="A1:H1"/>
  </mergeCells>
  <dataValidations count="1">
    <dataValidation sqref="F3:F24" showDropDown="0" showInputMessage="0" showErrorMessage="0" allowBlank="1" type="list">
      <formula1>"Annoying,Gets in the way,Breaks the event,Breaks the server"</formula1>
    </dataValidation>
  </dataValidations>
  <pageMargins left="0.75" right="0.75" top="1" bottom="1" header="0.5" footer="0.5"/>
</worksheet>
</file>

<file path=xl/worksheets/sheet7.xml><?xml version="1.0" encoding="utf-8"?>
<worksheet xmlns="http://schemas.openxmlformats.org/spreadsheetml/2006/main">
  <sheetPr>
    <tabColor rgb="0015803D"/>
    <outlinePr summaryBelow="1" summaryRight="1"/>
    <pageSetUpPr/>
  </sheetPr>
  <dimension ref="A1:B24"/>
  <sheetViews>
    <sheetView workbookViewId="0">
      <selection activeCell="A1" sqref="A1"/>
    </sheetView>
  </sheetViews>
  <sheetFormatPr baseColWidth="8" defaultRowHeight="15"/>
  <cols>
    <col width="44" customWidth="1" min="1" max="1"/>
    <col width="12" customWidth="1" min="2" max="2"/>
  </cols>
  <sheetData>
    <row r="1">
      <c r="A1" s="19" t="inlineStr">
        <is>
          <t>By result (counts itself from Test plan; nothing to fill in)</t>
        </is>
      </c>
    </row>
    <row r="2">
      <c r="A2" s="20" t="inlineStr">
        <is>
          <t>Pass</t>
        </is>
      </c>
      <c r="B2">
        <f>COUNTIF('Test plan'!$I$2:$I$23,"Pass")</f>
        <v/>
      </c>
    </row>
    <row r="3">
      <c r="A3" s="21" t="inlineStr">
        <is>
          <t>Partial pass</t>
        </is>
      </c>
      <c r="B3">
        <f>COUNTIF('Test plan'!$I$2:$I$23,"Partial pass")</f>
        <v/>
      </c>
    </row>
    <row r="4">
      <c r="A4" s="22" t="inlineStr">
        <is>
          <t>Fail</t>
        </is>
      </c>
      <c r="B4">
        <f>COUNTIF('Test plan'!$I$2:$I$23,"Fail")</f>
        <v/>
      </c>
    </row>
    <row r="5">
      <c r="A5" s="23" t="inlineStr">
        <is>
          <t>Blocked</t>
        </is>
      </c>
      <c r="B5">
        <f>COUNTIF('Test plan'!$I$2:$I$23,"Blocked")</f>
        <v/>
      </c>
    </row>
    <row r="6">
      <c r="A6" s="24" t="inlineStr">
        <is>
          <t>Not tested yet</t>
        </is>
      </c>
      <c r="B6">
        <f>COUNTIF('Test plan'!$I$2:$I$23,"Not tested yet")</f>
        <v/>
      </c>
    </row>
    <row r="7">
      <c r="A7" t="inlineStr">
        <is>
          <t>Rows in the plan</t>
        </is>
      </c>
      <c r="B7">
        <f>COUNTA('Test plan'!$A$2:$A$23)</f>
        <v/>
      </c>
    </row>
    <row r="9">
      <c r="A9" s="19" t="inlineStr">
        <is>
          <t>By assignee</t>
        </is>
      </c>
    </row>
    <row r="10">
      <c r="A10" t="inlineStr">
        <is>
          <t>Tester A</t>
        </is>
      </c>
      <c r="B10">
        <f>COUNTIF('Test plan'!$H$2:$H$23,"Tester A")</f>
        <v/>
      </c>
    </row>
    <row r="11">
      <c r="A11" t="inlineStr">
        <is>
          <t>Tester B</t>
        </is>
      </c>
      <c r="B11">
        <f>COUNTIF('Test plan'!$H$2:$H$23,"Tester B")</f>
        <v/>
      </c>
    </row>
    <row r="12">
      <c r="A12" t="inlineStr">
        <is>
          <t>Both — coordinated</t>
        </is>
      </c>
      <c r="B12">
        <f>COUNTIF('Test plan'!$H$2:$H$23,"Both — coordinated")</f>
        <v/>
      </c>
    </row>
    <row r="13">
      <c r="A13" t="inlineStr">
        <is>
          <t>Not assigned yet</t>
        </is>
      </c>
      <c r="B13">
        <f>COUNTIF('Test plan'!$H$2:$H$23,"Not assigned yet")</f>
        <v/>
      </c>
    </row>
    <row r="14">
      <c r="A14" t="inlineStr">
        <is>
          <t>Left blank</t>
        </is>
      </c>
      <c r="B14">
        <f>COUNTBLANK('Test plan'!$H$2:$H$23)</f>
        <v/>
      </c>
    </row>
    <row r="16">
      <c r="A16" s="19" t="inlineStr">
        <is>
          <t>By kind of row</t>
        </is>
      </c>
    </row>
    <row r="17">
      <c r="A17" t="inlineStr">
        <is>
          <t>New</t>
        </is>
      </c>
      <c r="B17">
        <f>COUNTIF('Test plan'!$B$2:$B$23,"New")</f>
        <v/>
      </c>
    </row>
    <row r="18">
      <c r="A18" t="inlineStr">
        <is>
          <t>Established feature — a fresh pair of eyes</t>
        </is>
      </c>
      <c r="B18">
        <f>COUNTIF('Test plan'!$B$2:$B$23,"Established feature — a fresh pair of eyes")</f>
        <v/>
      </c>
    </row>
    <row r="19">
      <c r="A19" t="inlineStr">
        <is>
          <t>Not an ordinary test row</t>
        </is>
      </c>
      <c r="B19">
        <f>COUNTIF('Test plan'!$B$2:$B$23,"Not an ordinary test row")</f>
        <v/>
      </c>
    </row>
    <row r="21">
      <c r="A21" s="19" t="inlineStr">
        <is>
          <t>Steps marked (Test steps)</t>
        </is>
      </c>
    </row>
    <row r="22">
      <c r="A22" s="20" t="inlineStr">
        <is>
          <t>OK</t>
        </is>
      </c>
      <c r="B22">
        <f>COUNTIF('Test steps'!$E$2:$E$119,"OK")</f>
        <v/>
      </c>
    </row>
    <row r="23">
      <c r="A23" s="22" t="inlineStr">
        <is>
          <t>Problem</t>
        </is>
      </c>
      <c r="B23">
        <f>COUNTIF('Test steps'!$E$2:$E$119,"Problem")</f>
        <v/>
      </c>
    </row>
    <row r="24">
      <c r="A24" s="23" t="inlineStr">
        <is>
          <t>Skipped</t>
        </is>
      </c>
      <c r="B24">
        <f>COUNTIF('Test steps'!$E$2:$E$119,"Skipped")</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2026-10-17T02:56:51Z</dcterms:created>
  <dcterms:modified xmlns:dcterms="http://purl.org/dc/terms/" xmlns:xsi="http://www.w3.org/2001/XMLSchema-instance" xsi:type="dcterms:W3CDTF">2026-10-17T02:56:51Z</dcterms:modified>
</cp:coreProperties>
</file>